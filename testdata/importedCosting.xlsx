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com.CostMaster\testdata\"/>
    </mc:Choice>
  </mc:AlternateContent>
  <xr:revisionPtr revIDLastSave="0" documentId="13_ncr:1_{9429B094-195B-4817-91E4-A52DD0F73990}" xr6:coauthVersionLast="36" xr6:coauthVersionMax="47" xr10:uidLastSave="{00000000-0000-0000-0000-000000000000}"/>
  <bookViews>
    <workbookView xWindow="0" yWindow="0" windowWidth="20490" windowHeight="7320" firstSheet="1" activeTab="1" xr2:uid="{00000000-000D-0000-FFFF-FFFF00000000}"/>
  </bookViews>
  <sheets>
    <sheet name="Imported Sample" sheetId="1" r:id="rId1"/>
    <sheet name="Beri Imported expense scope-F" sheetId="2" r:id="rId2"/>
    <sheet name="Imported Sample (2)" sheetId="3" state="hidden" r:id="rId3"/>
    <sheet name="scope-BOP" sheetId="4" state="hidden" r:id="rId4"/>
    <sheet name="scope-RM" sheetId="5" state="hidden" r:id="rId5"/>
    <sheet name="Beri- Old Costing" sheetId="6" state="hidden" r:id="rId6"/>
    <sheet name="Beri-BOM" sheetId="7" state="hidden" r:id="rId7"/>
  </sheets>
  <externalReferences>
    <externalReference r:id="rId8"/>
    <externalReference r:id="rId9"/>
    <externalReference r:id="rId10"/>
  </externalReferences>
  <definedNames>
    <definedName name="__xlcn.WorksheetConnection_FKAT4WNT16X7FTFLAT24.10.17B2V1191" hidden="1">'[1]FKAT4WNT-16X7 FT FLAT 19'!$B$2:$V$119</definedName>
    <definedName name="_xlcn.WorksheetConnection_MRRDec17A1AC185391" hidden="1">'[2]MRR-Dec-17'!$A$1:$AC$18539</definedName>
    <definedName name="Français" localSheetId="1">#REF!</definedName>
    <definedName name="Français" localSheetId="2">#REF!</definedName>
    <definedName name="Français">#REF!</definedName>
    <definedName name="ImplementList">[3]Sheet1!$A$1:$B$412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2" l="1"/>
  <c r="K14" i="2"/>
  <c r="K23" i="2" l="1"/>
  <c r="E32" i="5" l="1"/>
  <c r="H38" i="4" l="1"/>
  <c r="H39" i="4" s="1"/>
  <c r="I50" i="4"/>
  <c r="D50" i="4"/>
  <c r="H40" i="4"/>
  <c r="D49" i="4" l="1"/>
  <c r="I54" i="4"/>
  <c r="I60" i="4"/>
  <c r="Q21" i="3"/>
  <c r="K23" i="3" s="1"/>
  <c r="Q20" i="3"/>
  <c r="K22" i="3" s="1"/>
  <c r="Q19" i="3"/>
  <c r="K21" i="3" s="1"/>
  <c r="Q18" i="3"/>
  <c r="K20" i="3" s="1"/>
  <c r="J15" i="3"/>
  <c r="J14" i="3"/>
  <c r="R12" i="3"/>
  <c r="Q11" i="3"/>
  <c r="K10" i="3"/>
  <c r="K11" i="3" s="1"/>
  <c r="F9" i="3"/>
  <c r="Q26" i="3" l="1"/>
  <c r="K25" i="3" s="1"/>
  <c r="Q25" i="3"/>
  <c r="K24" i="3" s="1"/>
  <c r="E13" i="3"/>
  <c r="E15" i="3" s="1"/>
  <c r="E14" i="3"/>
  <c r="Q12" i="3"/>
  <c r="K12" i="3" s="1"/>
  <c r="D51" i="4"/>
  <c r="D52" i="4" s="1"/>
  <c r="D53" i="4" s="1"/>
  <c r="D54" i="4" s="1"/>
  <c r="D56" i="4" s="1"/>
  <c r="I55" i="4"/>
  <c r="I59" i="4"/>
  <c r="E16" i="3" l="1"/>
  <c r="E17" i="3" s="1"/>
  <c r="E18" i="3" s="1"/>
  <c r="E56" i="4"/>
  <c r="D57" i="4"/>
  <c r="E20" i="3"/>
  <c r="E21" i="3" s="1"/>
  <c r="K18" i="2" l="1"/>
  <c r="K40" i="2"/>
  <c r="D59" i="4"/>
  <c r="E59" i="4" s="1"/>
  <c r="D58" i="4"/>
  <c r="E57" i="4"/>
  <c r="K41" i="2"/>
  <c r="K19" i="2"/>
  <c r="E23" i="3"/>
  <c r="F23" i="3" s="1"/>
  <c r="K15" i="3"/>
  <c r="F21" i="3"/>
  <c r="E22" i="3"/>
  <c r="K14" i="3"/>
  <c r="F20" i="3"/>
  <c r="K10" i="1"/>
  <c r="E58" i="4" l="1"/>
  <c r="D60" i="4"/>
  <c r="E60" i="4" s="1"/>
  <c r="D61" i="4"/>
  <c r="E61" i="4" s="1"/>
  <c r="K20" i="2"/>
  <c r="E25" i="3"/>
  <c r="F25" i="3" s="1"/>
  <c r="F22" i="3"/>
  <c r="K16" i="3"/>
  <c r="E24" i="3"/>
  <c r="Q21" i="1"/>
  <c r="K23" i="1" s="1"/>
  <c r="Q20" i="1"/>
  <c r="K22" i="1" s="1"/>
  <c r="Q19" i="1"/>
  <c r="K21" i="1" s="1"/>
  <c r="Q18" i="1"/>
  <c r="K20" i="1" s="1"/>
  <c r="J15" i="1"/>
  <c r="J14" i="1"/>
  <c r="R12" i="1"/>
  <c r="Q11" i="1"/>
  <c r="K11" i="1"/>
  <c r="F9" i="1"/>
  <c r="E14" i="1" l="1"/>
  <c r="E26" i="3"/>
  <c r="F26" i="3" s="1"/>
  <c r="D62" i="4"/>
  <c r="H42" i="4" s="1"/>
  <c r="H43" i="4" s="1"/>
  <c r="H44" i="4" s="1"/>
  <c r="H45" i="4" s="1"/>
  <c r="F24" i="3"/>
  <c r="K17" i="3"/>
  <c r="K21" i="2"/>
  <c r="Q26" i="1"/>
  <c r="K25" i="1" s="1"/>
  <c r="Q25" i="1"/>
  <c r="K24" i="1" s="1"/>
  <c r="E13" i="1"/>
  <c r="E15" i="1" s="1"/>
  <c r="Q12" i="1"/>
  <c r="K18" i="3" l="1"/>
  <c r="E27" i="3"/>
  <c r="Q28" i="3" s="1"/>
  <c r="Q30" i="3" s="1"/>
  <c r="D63" i="4"/>
  <c r="I51" i="4" s="1"/>
  <c r="E62" i="4"/>
  <c r="K22" i="2"/>
  <c r="K12" i="1"/>
  <c r="E16" i="1"/>
  <c r="K28" i="3" l="1"/>
  <c r="K30" i="3" s="1"/>
  <c r="K25" i="2"/>
  <c r="R28" i="3"/>
  <c r="Q31" i="3"/>
  <c r="E17" i="1"/>
  <c r="E18" i="1" s="1"/>
  <c r="K31" i="3" l="1"/>
  <c r="K32" i="3" s="1"/>
  <c r="K33" i="3" s="1"/>
  <c r="K26" i="2"/>
  <c r="E20" i="1"/>
  <c r="K27" i="2" l="1"/>
  <c r="K28" i="2"/>
  <c r="E21" i="1"/>
  <c r="F21" i="1" s="1"/>
  <c r="E23" i="1"/>
  <c r="F23" i="1" s="1"/>
  <c r="K14" i="1"/>
  <c r="F20" i="1"/>
  <c r="E22" i="1" l="1"/>
  <c r="E24" i="1" s="1"/>
  <c r="K15" i="1"/>
  <c r="K29" i="2"/>
  <c r="F22" i="1"/>
  <c r="K16" i="1"/>
  <c r="E25" i="1"/>
  <c r="F25" i="1" s="1"/>
  <c r="F24" i="1" l="1"/>
  <c r="K17" i="1"/>
  <c r="K30" i="2"/>
  <c r="K31" i="2"/>
  <c r="E26" i="1"/>
  <c r="E27" i="1" s="1"/>
  <c r="F26" i="1"/>
  <c r="K32" i="2" l="1"/>
  <c r="K33" i="2"/>
  <c r="K45" i="2" s="1"/>
  <c r="K18" i="1"/>
  <c r="Q13" i="1"/>
  <c r="Q28" i="1" s="1"/>
  <c r="Q31" i="1" s="1"/>
  <c r="K34" i="2" l="1"/>
  <c r="K43" i="2" s="1"/>
  <c r="K44" i="2" s="1"/>
  <c r="K28" i="1"/>
  <c r="K30" i="1" s="1"/>
  <c r="K31" i="1" s="1"/>
  <c r="K32" i="1" s="1"/>
  <c r="K33" i="1" s="1"/>
  <c r="R28" i="1"/>
  <c r="Q30" i="1"/>
  <c r="K47" i="2" l="1"/>
  <c r="K48" i="2" s="1"/>
  <c r="K49" i="2" s="1"/>
  <c r="K50" i="2" s="1"/>
</calcChain>
</file>

<file path=xl/sharedStrings.xml><?xml version="1.0" encoding="utf-8"?>
<sst xmlns="http://schemas.openxmlformats.org/spreadsheetml/2006/main" count="449" uniqueCount="119">
  <si>
    <t>IMPORT EXPENSED RECEIVED</t>
  </si>
  <si>
    <t>Features</t>
  </si>
  <si>
    <t>Product</t>
  </si>
  <si>
    <t>Container</t>
  </si>
  <si>
    <t>Incoterms </t>
  </si>
  <si>
    <t>Final Destination</t>
  </si>
  <si>
    <t>Ocean Feight (USD)</t>
  </si>
  <si>
    <t>Other Charges (Liner, DTHC charges) INR</t>
  </si>
  <si>
    <t>Customs Clearance INR (approx)</t>
  </si>
  <si>
    <t>CFS Charges INR (approx)</t>
  </si>
  <si>
    <t>Transportation Mundra to Karnal (INR)</t>
  </si>
  <si>
    <t>USD RATE FOR DUTY CONVERSION</t>
  </si>
  <si>
    <t>Individual Item and Mass Export for change</t>
  </si>
  <si>
    <t>Spot USD RATE FOR EXPENSE CONVERSION</t>
  </si>
  <si>
    <t>ABC</t>
  </si>
  <si>
    <t>1X40'</t>
  </si>
  <si>
    <t xml:space="preserve">FOB </t>
  </si>
  <si>
    <t>Mundra</t>
  </si>
  <si>
    <t>PRODUCT -ABC</t>
  </si>
  <si>
    <t>Required  - qty</t>
  </si>
  <si>
    <t>Nos</t>
  </si>
  <si>
    <t>FOR 40 ' CONT</t>
  </si>
  <si>
    <t>USD</t>
  </si>
  <si>
    <t xml:space="preserve">Unit Price </t>
  </si>
  <si>
    <t>Qty</t>
  </si>
  <si>
    <t xml:space="preserve">Total Shipment Value (USD) </t>
  </si>
  <si>
    <t>C rate</t>
  </si>
  <si>
    <t>OCEAN FREIGHT (USD)</t>
  </si>
  <si>
    <t>Total Shipment Value (INR)</t>
  </si>
  <si>
    <t>INR</t>
  </si>
  <si>
    <t>OCEAN FREIGHT</t>
  </si>
  <si>
    <t>INV. VAL. IN USD</t>
  </si>
  <si>
    <t>Ocean Freight (CHINA to DELHI)</t>
  </si>
  <si>
    <t xml:space="preserve">OCEAN FREIGHT </t>
  </si>
  <si>
    <t>INV. VAL. INR</t>
  </si>
  <si>
    <t>IMPORT DUTY</t>
  </si>
  <si>
    <t>FREIGHT INR</t>
  </si>
  <si>
    <t>BASIC DUTY</t>
  </si>
  <si>
    <t>INSURANCE</t>
  </si>
  <si>
    <t>CVD</t>
  </si>
  <si>
    <t>CIF</t>
  </si>
  <si>
    <t>CESS ON CVD</t>
  </si>
  <si>
    <t>LADING</t>
  </si>
  <si>
    <t>EDU. CESS</t>
  </si>
  <si>
    <t>ASSESBLE VALUE</t>
  </si>
  <si>
    <t>IGST</t>
  </si>
  <si>
    <t>CFS</t>
  </si>
  <si>
    <t>AGENCY, CUSTOMER CLEARANCE</t>
  </si>
  <si>
    <t>Edu. Cess on CVD</t>
  </si>
  <si>
    <t>Sec &amp; Hi. Edu. Cess CVD</t>
  </si>
  <si>
    <t>Customs EDU. CESS</t>
  </si>
  <si>
    <t>BANK LC</t>
  </si>
  <si>
    <t>Cust Sec &amp; Hi Edu. Cess CVD</t>
  </si>
  <si>
    <t>Insurance</t>
  </si>
  <si>
    <t>TOTAL DUTY</t>
  </si>
  <si>
    <t>Total Landed Cost</t>
  </si>
  <si>
    <t>TOTAL EXP</t>
  </si>
  <si>
    <t>% expenses</t>
  </si>
  <si>
    <t>Landed Cost Net</t>
  </si>
  <si>
    <t>Per Unit</t>
  </si>
  <si>
    <t>Cost Per pc in USD</t>
  </si>
  <si>
    <t>Total landed Cost Per Pcs (INR)</t>
  </si>
  <si>
    <t xml:space="preserve">Query-for sale - exported </t>
  </si>
  <si>
    <t>Imported Costing Format</t>
  </si>
  <si>
    <t xml:space="preserve">manual entry </t>
  </si>
  <si>
    <t xml:space="preserve">currency master </t>
  </si>
  <si>
    <t>Part No.</t>
  </si>
  <si>
    <t xml:space="preserve">Part Description </t>
  </si>
  <si>
    <t>ABC- Desc.</t>
  </si>
  <si>
    <t>new addition - check how to link with finsys s/w</t>
  </si>
  <si>
    <t xml:space="preserve">Supplier </t>
  </si>
  <si>
    <t xml:space="preserve">Currency Conversion </t>
  </si>
  <si>
    <t>USD-INR</t>
  </si>
  <si>
    <t>New Addition - drop drown, As per Currency conersion selection units to be show in other L-column</t>
  </si>
  <si>
    <t>Shiping Qty</t>
  </si>
  <si>
    <t xml:space="preserve">Manual Entry </t>
  </si>
  <si>
    <t>Unit Price</t>
  </si>
  <si>
    <t>Manual Entry  ( As per currency conversion selection uints to be change )</t>
  </si>
  <si>
    <t xml:space="preserve">Total Shipment Value </t>
  </si>
  <si>
    <t>formula</t>
  </si>
  <si>
    <t>Spot USD rate for expense conversion</t>
  </si>
  <si>
    <t xml:space="preserve">Year and Period </t>
  </si>
  <si>
    <t xml:space="preserve">USD conversion user for calcuation- spot USD conversion add as Cover in master </t>
  </si>
  <si>
    <t>Ocean Freight (as per duty conversion)</t>
  </si>
  <si>
    <t>2021-22</t>
  </si>
  <si>
    <t>Apr</t>
  </si>
  <si>
    <t>USD conversion user for calcuation</t>
  </si>
  <si>
    <t>INSURANCE (as per duty conversion)</t>
  </si>
  <si>
    <t>J column as manual entry and formula use in k column</t>
  </si>
  <si>
    <t>CIF (as per duty conversion)</t>
  </si>
  <si>
    <t>LADING (as per duty conversion)</t>
  </si>
  <si>
    <t>IND</t>
  </si>
  <si>
    <t>Query: In Format 3% given is it consider 3 % or add Cust EDU. CESS</t>
  </si>
  <si>
    <t>TOTAL IMPORT DUTY</t>
  </si>
  <si>
    <t xml:space="preserve">Query: In Bank LC Calculation 3/12 use </t>
  </si>
  <si>
    <t>Total Exp.</t>
  </si>
  <si>
    <t>Cost Per pc</t>
  </si>
  <si>
    <t>(K34+K22+K21+K20+K19+K17+K18+K43+K30+K31)</t>
  </si>
  <si>
    <t>`</t>
  </si>
  <si>
    <t xml:space="preserve">Qty to changes in Amendment..? </t>
  </si>
  <si>
    <t>Part No. *</t>
  </si>
  <si>
    <t xml:space="preserve">Currency Master </t>
  </si>
  <si>
    <t xml:space="preserve">Year </t>
  </si>
  <si>
    <t xml:space="preserve">Month </t>
  </si>
  <si>
    <t>Child Part Desc. *</t>
  </si>
  <si>
    <t>April</t>
  </si>
  <si>
    <t>UOM *</t>
  </si>
  <si>
    <t>Supplier </t>
  </si>
  <si>
    <t>Customer</t>
  </si>
  <si>
    <t xml:space="preserve"> DUTY CONVERSION</t>
  </si>
  <si>
    <t>TOTAL Imported DUTY</t>
  </si>
  <si>
    <t>Currency Year</t>
  </si>
  <si>
    <t xml:space="preserve">Months </t>
  </si>
  <si>
    <t>Imported Currency (Spot )</t>
  </si>
  <si>
    <t>Auto Pull</t>
  </si>
  <si>
    <t xml:space="preserve">Imported Currency </t>
  </si>
  <si>
    <t xml:space="preserve">Basic Currency </t>
  </si>
  <si>
    <t xml:space="preserve">Basic Cost </t>
  </si>
  <si>
    <t xml:space="preserve">Conversion w.r.t. Basic Currency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</si>
</sst>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"/>
    <numFmt numFmtId="170" formatCode="_-[$$-409]* #,##0.00_ ;_-[$$-409]* \-#,##0.00\ ;_-[$$-409]* &quot;-&quot;??_ ;_-@_ "/>
    <numFmt numFmtId="171" formatCode="&quot;$&quot;#,##0"/>
    <numFmt numFmtId="172" formatCode="0.0%"/>
    <numFmt numFmtId="173" formatCode="_(* #,##0_);_(* \(#,##0\);_(* &quot;-&quot;??_);_(@_)"/>
    <numFmt numFmtId="174" formatCode="_(* #,##0.0_);_(* \(#,##0.0\);_(* &quot;-&quot;??_);_(@_)"/>
    <numFmt numFmtId="175" formatCode="_(* #,##0.0000_);_(* \(#,##0.0000\);_(* &quot;-&quot;??_);_(@_)"/>
    <numFmt numFmtId="176" formatCode="#,##0.000000"/>
    <numFmt numFmtId="177" formatCode="0.000%"/>
    <numFmt numFmtId="178" formatCode="0.0000%"/>
    <numFmt numFmtId="179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4"/>
      <name val="Calibri"/>
      <family val="2"/>
    </font>
    <font>
      <b/>
      <sz val="14"/>
      <name val="Calibri"/>
      <family val="2"/>
      <scheme val="minor"/>
    </font>
    <font>
      <b/>
      <u/>
      <sz val="10"/>
      <name val="Arial"/>
      <family val="2"/>
    </font>
    <font>
      <b/>
      <sz val="11"/>
      <name val="Calibri"/>
      <family val="2"/>
    </font>
    <font>
      <sz val="10"/>
      <name val="Calibri"/>
      <family val="2"/>
      <scheme val="minor"/>
    </font>
    <font>
      <b/>
      <sz val="11"/>
      <color indexed="17"/>
      <name val="Calibri"/>
      <family val="2"/>
    </font>
    <font>
      <b/>
      <sz val="11"/>
      <name val="Calibri"/>
      <family val="2"/>
      <scheme val="minor"/>
    </font>
    <font>
      <b/>
      <sz val="12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0"/>
      <name val="Arial"/>
      <family val="2"/>
    </font>
    <font>
      <b/>
      <sz val="9"/>
      <color rgb="FF000000"/>
      <name val="Calibri"/>
      <family val="2"/>
    </font>
    <font>
      <b/>
      <sz val="8"/>
      <color rgb="FF000000"/>
      <name val="Calibri"/>
      <family val="2"/>
    </font>
    <font>
      <b/>
      <sz val="11"/>
      <color theme="0"/>
      <name val="Calibri"/>
      <family val="2"/>
    </font>
    <font>
      <sz val="12"/>
      <name val="Calibri"/>
      <family val="2"/>
    </font>
    <font>
      <sz val="14"/>
      <name val="Calibri"/>
      <family val="2"/>
    </font>
    <font>
      <b/>
      <sz val="20"/>
      <color theme="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</cellStyleXfs>
  <cellXfs count="371">
    <xf numFmtId="0" fontId="0" fillId="0" borderId="0" xfId="0"/>
    <xf numFmtId="0" fontId="5" fillId="0" borderId="0" xfId="3" applyFont="1"/>
    <xf numFmtId="0" fontId="5" fillId="0" borderId="0" xfId="3" applyFont="1" applyAlignment="1">
      <alignment horizontal="center"/>
    </xf>
    <xf numFmtId="0" fontId="5" fillId="2" borderId="0" xfId="3" applyFont="1" applyFill="1"/>
    <xf numFmtId="0" fontId="6" fillId="0" borderId="0" xfId="3" applyFont="1" applyAlignment="1">
      <alignment horizontal="center"/>
    </xf>
    <xf numFmtId="0" fontId="7" fillId="3" borderId="2" xfId="3" applyFont="1" applyFill="1" applyBorder="1" applyAlignment="1">
      <alignment vertical="center"/>
    </xf>
    <xf numFmtId="0" fontId="7" fillId="3" borderId="3" xfId="3" applyFont="1" applyFill="1" applyBorder="1" applyAlignment="1">
      <alignment vertical="center"/>
    </xf>
    <xf numFmtId="0" fontId="7" fillId="3" borderId="3" xfId="3" applyFont="1" applyFill="1" applyBorder="1" applyAlignment="1">
      <alignment horizontal="center" vertical="center"/>
    </xf>
    <xf numFmtId="0" fontId="5" fillId="2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5" fillId="0" borderId="1" xfId="3" applyFont="1" applyBorder="1"/>
    <xf numFmtId="4" fontId="5" fillId="2" borderId="1" xfId="3" applyNumberFormat="1" applyFont="1" applyFill="1" applyBorder="1" applyAlignment="1">
      <alignment horizontal="center"/>
    </xf>
    <xf numFmtId="0" fontId="5" fillId="0" borderId="1" xfId="3" applyFont="1" applyBorder="1" applyAlignment="1">
      <alignment horizontal="center"/>
    </xf>
    <xf numFmtId="169" fontId="5" fillId="0" borderId="0" xfId="3" applyNumberFormat="1" applyFont="1"/>
    <xf numFmtId="2" fontId="5" fillId="2" borderId="1" xfId="3" applyNumberFormat="1" applyFont="1" applyFill="1" applyBorder="1" applyAlignment="1">
      <alignment horizontal="center"/>
    </xf>
    <xf numFmtId="0" fontId="5" fillId="0" borderId="1" xfId="3" applyFont="1" applyBorder="1" applyAlignment="1">
      <alignment horizontal="left"/>
    </xf>
    <xf numFmtId="170" fontId="3" fillId="4" borderId="1" xfId="3" applyNumberFormat="1" applyFont="1" applyFill="1" applyBorder="1" applyAlignment="1">
      <alignment horizontal="center" vertical="center"/>
    </xf>
    <xf numFmtId="0" fontId="9" fillId="0" borderId="0" xfId="3" applyFont="1"/>
    <xf numFmtId="0" fontId="4" fillId="0" borderId="0" xfId="3" applyAlignment="1">
      <alignment horizontal="center"/>
    </xf>
    <xf numFmtId="2" fontId="5" fillId="0" borderId="1" xfId="4" applyNumberFormat="1" applyFont="1" applyBorder="1" applyAlignment="1">
      <alignment horizontal="left"/>
    </xf>
    <xf numFmtId="4" fontId="5" fillId="0" borderId="1" xfId="3" applyNumberFormat="1" applyFont="1" applyBorder="1" applyAlignment="1">
      <alignment horizontal="center"/>
    </xf>
    <xf numFmtId="0" fontId="4" fillId="0" borderId="0" xfId="3"/>
    <xf numFmtId="0" fontId="4" fillId="5" borderId="0" xfId="3" applyFill="1" applyAlignment="1">
      <alignment horizontal="center"/>
    </xf>
    <xf numFmtId="0" fontId="4" fillId="0" borderId="1" xfId="3" applyBorder="1" applyAlignment="1">
      <alignment horizontal="center"/>
    </xf>
    <xf numFmtId="4" fontId="10" fillId="0" borderId="1" xfId="3" applyNumberFormat="1" applyFont="1" applyBorder="1" applyAlignment="1">
      <alignment horizontal="center"/>
    </xf>
    <xf numFmtId="0" fontId="11" fillId="0" borderId="1" xfId="3" applyFont="1" applyBorder="1" applyAlignment="1">
      <alignment horizontal="left" wrapText="1"/>
    </xf>
    <xf numFmtId="0" fontId="11" fillId="0" borderId="1" xfId="3" applyFont="1" applyBorder="1" applyAlignment="1">
      <alignment horizontal="center"/>
    </xf>
    <xf numFmtId="1" fontId="11" fillId="5" borderId="1" xfId="3" applyNumberFormat="1" applyFont="1" applyFill="1" applyBorder="1" applyAlignment="1">
      <alignment horizontal="center" vertical="center"/>
    </xf>
    <xf numFmtId="164" fontId="5" fillId="0" borderId="1" xfId="3" applyNumberFormat="1" applyFont="1" applyBorder="1"/>
    <xf numFmtId="4" fontId="5" fillId="5" borderId="1" xfId="3" applyNumberFormat="1" applyFont="1" applyFill="1" applyBorder="1" applyAlignment="1">
      <alignment horizontal="center"/>
    </xf>
    <xf numFmtId="171" fontId="5" fillId="0" borderId="0" xfId="3" applyNumberFormat="1" applyFont="1" applyAlignment="1">
      <alignment horizontal="center"/>
    </xf>
    <xf numFmtId="172" fontId="5" fillId="0" borderId="1" xfId="5" applyNumberFormat="1" applyFont="1" applyBorder="1" applyAlignment="1">
      <alignment horizontal="center"/>
    </xf>
    <xf numFmtId="0" fontId="5" fillId="0" borderId="0" xfId="3" applyFont="1" applyAlignment="1">
      <alignment wrapText="1"/>
    </xf>
    <xf numFmtId="1" fontId="5" fillId="0" borderId="0" xfId="3" applyNumberFormat="1" applyFont="1"/>
    <xf numFmtId="0" fontId="5" fillId="0" borderId="1" xfId="3" applyFont="1" applyBorder="1" applyAlignment="1">
      <alignment wrapText="1"/>
    </xf>
    <xf numFmtId="1" fontId="5" fillId="0" borderId="1" xfId="3" applyNumberFormat="1" applyFont="1" applyBorder="1" applyAlignment="1">
      <alignment horizontal="center"/>
    </xf>
    <xf numFmtId="0" fontId="4" fillId="0" borderId="0" xfId="3" applyAlignment="1">
      <alignment horizontal="left"/>
    </xf>
    <xf numFmtId="172" fontId="5" fillId="0" borderId="1" xfId="3" applyNumberFormat="1" applyFont="1" applyBorder="1" applyAlignment="1">
      <alignment horizontal="center"/>
    </xf>
    <xf numFmtId="9" fontId="5" fillId="0" borderId="0" xfId="3" applyNumberFormat="1" applyFont="1" applyAlignment="1">
      <alignment horizontal="center"/>
    </xf>
    <xf numFmtId="0" fontId="10" fillId="0" borderId="0" xfId="3" applyFont="1" applyAlignment="1">
      <alignment vertical="center"/>
    </xf>
    <xf numFmtId="0" fontId="5" fillId="0" borderId="0" xfId="3" applyFont="1" applyAlignment="1">
      <alignment horizontal="center" vertical="center"/>
    </xf>
    <xf numFmtId="0" fontId="5" fillId="0" borderId="1" xfId="3" applyFont="1" applyBorder="1" applyAlignment="1">
      <alignment vertical="center"/>
    </xf>
    <xf numFmtId="172" fontId="5" fillId="0" borderId="1" xfId="3" applyNumberFormat="1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0" fillId="0" borderId="9" xfId="0" applyBorder="1"/>
    <xf numFmtId="0" fontId="0" fillId="5" borderId="5" xfId="0" applyFill="1" applyBorder="1"/>
    <xf numFmtId="0" fontId="0" fillId="0" borderId="1" xfId="0" applyBorder="1" applyAlignment="1">
      <alignment horizontal="center"/>
    </xf>
    <xf numFmtId="0" fontId="4" fillId="0" borderId="0" xfId="3" applyAlignment="1">
      <alignment horizontal="center" vertical="center"/>
    </xf>
    <xf numFmtId="0" fontId="10" fillId="0" borderId="0" xfId="3" applyFont="1"/>
    <xf numFmtId="173" fontId="12" fillId="0" borderId="0" xfId="6" applyNumberFormat="1" applyFont="1" applyBorder="1" applyAlignment="1">
      <alignment horizontal="center"/>
    </xf>
    <xf numFmtId="9" fontId="5" fillId="0" borderId="1" xfId="3" applyNumberFormat="1" applyFont="1" applyBorder="1"/>
    <xf numFmtId="0" fontId="0" fillId="0" borderId="1" xfId="0" applyBorder="1"/>
    <xf numFmtId="172" fontId="5" fillId="5" borderId="0" xfId="5" applyNumberFormat="1" applyFont="1" applyFill="1" applyAlignment="1">
      <alignment horizontal="center"/>
    </xf>
    <xf numFmtId="2" fontId="5" fillId="0" borderId="0" xfId="3" applyNumberFormat="1" applyFont="1" applyAlignment="1">
      <alignment horizontal="center"/>
    </xf>
    <xf numFmtId="0" fontId="0" fillId="5" borderId="5" xfId="0" applyFill="1" applyBorder="1" applyAlignment="1">
      <alignment horizontal="center"/>
    </xf>
    <xf numFmtId="0" fontId="5" fillId="0" borderId="11" xfId="3" applyFont="1" applyBorder="1" applyAlignment="1">
      <alignment horizontal="center"/>
    </xf>
    <xf numFmtId="3" fontId="5" fillId="0" borderId="0" xfId="3" applyNumberFormat="1" applyFont="1"/>
    <xf numFmtId="0" fontId="11" fillId="0" borderId="1" xfId="3" applyFont="1" applyBorder="1" applyAlignment="1">
      <alignment horizontal="left"/>
    </xf>
    <xf numFmtId="0" fontId="5" fillId="5" borderId="1" xfId="3" applyFont="1" applyFill="1" applyBorder="1" applyAlignment="1">
      <alignment wrapText="1"/>
    </xf>
    <xf numFmtId="1" fontId="11" fillId="5" borderId="1" xfId="3" applyNumberFormat="1" applyFont="1" applyFill="1" applyBorder="1" applyAlignment="1">
      <alignment horizontal="center"/>
    </xf>
    <xf numFmtId="0" fontId="11" fillId="5" borderId="1" xfId="3" applyFont="1" applyFill="1" applyBorder="1" applyAlignment="1">
      <alignment horizontal="left" wrapText="1"/>
    </xf>
    <xf numFmtId="0" fontId="0" fillId="0" borderId="1" xfId="0" applyBorder="1" applyAlignment="1">
      <alignment wrapText="1"/>
    </xf>
    <xf numFmtId="2" fontId="11" fillId="5" borderId="1" xfId="3" applyNumberFormat="1" applyFont="1" applyFill="1" applyBorder="1" applyAlignment="1">
      <alignment horizontal="center"/>
    </xf>
    <xf numFmtId="1" fontId="5" fillId="2" borderId="0" xfId="3" applyNumberFormat="1" applyFont="1" applyFill="1"/>
    <xf numFmtId="174" fontId="12" fillId="0" borderId="7" xfId="6" applyNumberFormat="1" applyFont="1" applyBorder="1" applyAlignment="1">
      <alignment vertical="center"/>
    </xf>
    <xf numFmtId="173" fontId="12" fillId="0" borderId="8" xfId="6" applyNumberFormat="1" applyFont="1" applyBorder="1" applyAlignment="1">
      <alignment horizontal="center"/>
    </xf>
    <xf numFmtId="0" fontId="10" fillId="0" borderId="0" xfId="3" applyFont="1" applyAlignment="1">
      <alignment horizontal="center"/>
    </xf>
    <xf numFmtId="175" fontId="10" fillId="0" borderId="0" xfId="3" applyNumberFormat="1" applyFont="1"/>
    <xf numFmtId="0" fontId="10" fillId="0" borderId="1" xfId="3" applyFont="1" applyBorder="1"/>
    <xf numFmtId="1" fontId="5" fillId="0" borderId="1" xfId="3" applyNumberFormat="1" applyFont="1" applyBorder="1"/>
    <xf numFmtId="176" fontId="5" fillId="0" borderId="0" xfId="3" applyNumberFormat="1" applyFont="1"/>
    <xf numFmtId="0" fontId="11" fillId="0" borderId="1" xfId="3" applyFont="1" applyBorder="1" applyAlignment="1">
      <alignment wrapText="1"/>
    </xf>
    <xf numFmtId="1" fontId="13" fillId="2" borderId="1" xfId="3" applyNumberFormat="1" applyFont="1" applyFill="1" applyBorder="1" applyAlignment="1">
      <alignment horizontal="center"/>
    </xf>
    <xf numFmtId="177" fontId="5" fillId="0" borderId="0" xfId="2" applyNumberFormat="1" applyFont="1"/>
    <xf numFmtId="10" fontId="5" fillId="0" borderId="0" xfId="5" applyNumberFormat="1" applyFont="1"/>
    <xf numFmtId="166" fontId="5" fillId="0" borderId="0" xfId="3" applyNumberFormat="1" applyFont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4" fillId="2" borderId="4" xfId="3" applyFont="1" applyFill="1" applyBorder="1" applyAlignment="1">
      <alignment horizontal="center"/>
    </xf>
    <xf numFmtId="10" fontId="10" fillId="2" borderId="1" xfId="5" applyNumberFormat="1" applyFont="1" applyFill="1" applyBorder="1" applyAlignment="1">
      <alignment horizontal="center"/>
    </xf>
    <xf numFmtId="2" fontId="10" fillId="0" borderId="1" xfId="3" applyNumberFormat="1" applyFont="1" applyBorder="1"/>
    <xf numFmtId="0" fontId="14" fillId="2" borderId="1" xfId="3" applyFont="1" applyFill="1" applyBorder="1" applyAlignment="1">
      <alignment horizontal="center"/>
    </xf>
    <xf numFmtId="168" fontId="5" fillId="0" borderId="0" xfId="3" applyNumberFormat="1" applyFont="1" applyAlignment="1">
      <alignment horizontal="center"/>
    </xf>
    <xf numFmtId="173" fontId="5" fillId="0" borderId="0" xfId="3" applyNumberFormat="1" applyFont="1"/>
    <xf numFmtId="4" fontId="5" fillId="0" borderId="0" xfId="3" applyNumberFormat="1" applyFont="1"/>
    <xf numFmtId="166" fontId="5" fillId="0" borderId="0" xfId="3" applyNumberFormat="1" applyFont="1"/>
    <xf numFmtId="0" fontId="10" fillId="0" borderId="1" xfId="3" applyFont="1" applyBorder="1" applyAlignment="1">
      <alignment horizontal="center"/>
    </xf>
    <xf numFmtId="0" fontId="8" fillId="7" borderId="2" xfId="3" applyFont="1" applyFill="1" applyBorder="1" applyAlignment="1">
      <alignment vertical="center"/>
    </xf>
    <xf numFmtId="0" fontId="8" fillId="7" borderId="3" xfId="3" applyFont="1" applyFill="1" applyBorder="1" applyAlignment="1">
      <alignment vertical="center"/>
    </xf>
    <xf numFmtId="0" fontId="8" fillId="7" borderId="4" xfId="3" applyFont="1" applyFill="1" applyBorder="1" applyAlignment="1">
      <alignment vertical="center"/>
    </xf>
    <xf numFmtId="0" fontId="7" fillId="0" borderId="1" xfId="3" applyFont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2" fontId="18" fillId="2" borderId="1" xfId="3" applyNumberFormat="1" applyFont="1" applyFill="1" applyBorder="1" applyAlignment="1">
      <alignment horizontal="center"/>
    </xf>
    <xf numFmtId="3" fontId="5" fillId="5" borderId="1" xfId="3" applyNumberFormat="1" applyFont="1" applyFill="1" applyBorder="1" applyAlignment="1">
      <alignment horizontal="center"/>
    </xf>
    <xf numFmtId="3" fontId="5" fillId="5" borderId="1" xfId="3" applyNumberFormat="1" applyFont="1" applyFill="1" applyBorder="1" applyAlignment="1">
      <alignment horizontal="center" vertical="center"/>
    </xf>
    <xf numFmtId="3" fontId="0" fillId="0" borderId="10" xfId="0" applyNumberFormat="1" applyBorder="1" applyAlignment="1">
      <alignment horizontal="center"/>
    </xf>
    <xf numFmtId="3" fontId="5" fillId="0" borderId="1" xfId="3" applyNumberFormat="1" applyFont="1" applyBorder="1" applyAlignment="1">
      <alignment horizontal="center"/>
    </xf>
    <xf numFmtId="3" fontId="10" fillId="5" borderId="1" xfId="3" applyNumberFormat="1" applyFont="1" applyFill="1" applyBorder="1" applyAlignment="1">
      <alignment horizontal="center"/>
    </xf>
    <xf numFmtId="3" fontId="5" fillId="5" borderId="1" xfId="1" applyNumberFormat="1" applyFont="1" applyFill="1" applyBorder="1" applyAlignment="1">
      <alignment horizontal="center"/>
    </xf>
    <xf numFmtId="0" fontId="19" fillId="9" borderId="4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10" fillId="6" borderId="1" xfId="3" applyFont="1" applyFill="1" applyBorder="1" applyAlignment="1">
      <alignment horizontal="center" vertical="center" wrapText="1"/>
    </xf>
    <xf numFmtId="0" fontId="7" fillId="6" borderId="1" xfId="3" applyFont="1" applyFill="1" applyBorder="1" applyAlignment="1">
      <alignment horizontal="center" vertical="center" wrapText="1"/>
    </xf>
    <xf numFmtId="3" fontId="11" fillId="0" borderId="1" xfId="3" applyNumberFormat="1" applyFont="1" applyBorder="1" applyAlignment="1">
      <alignment horizontal="center" vertical="center"/>
    </xf>
    <xf numFmtId="1" fontId="11" fillId="0" borderId="1" xfId="3" applyNumberFormat="1" applyFont="1" applyBorder="1" applyAlignment="1">
      <alignment horizontal="center" vertical="center"/>
    </xf>
    <xf numFmtId="0" fontId="21" fillId="10" borderId="0" xfId="3" applyFont="1" applyFill="1"/>
    <xf numFmtId="0" fontId="21" fillId="10" borderId="0" xfId="3" applyFont="1" applyFill="1" applyAlignment="1">
      <alignment horizontal="center" vertical="center" wrapText="1"/>
    </xf>
    <xf numFmtId="0" fontId="5" fillId="0" borderId="13" xfId="3" applyFont="1" applyBorder="1"/>
    <xf numFmtId="0" fontId="5" fillId="0" borderId="14" xfId="3" applyFont="1" applyBorder="1"/>
    <xf numFmtId="0" fontId="5" fillId="0" borderId="15" xfId="3" applyFont="1" applyBorder="1" applyAlignment="1">
      <alignment horizontal="center"/>
    </xf>
    <xf numFmtId="0" fontId="5" fillId="0" borderId="16" xfId="3" applyFont="1" applyBorder="1" applyAlignment="1">
      <alignment horizontal="left"/>
    </xf>
    <xf numFmtId="0" fontId="5" fillId="0" borderId="17" xfId="3" applyFont="1" applyBorder="1" applyAlignment="1">
      <alignment horizontal="center"/>
    </xf>
    <xf numFmtId="2" fontId="5" fillId="0" borderId="16" xfId="4" applyNumberFormat="1" applyFont="1" applyBorder="1" applyAlignment="1">
      <alignment horizontal="left"/>
    </xf>
    <xf numFmtId="0" fontId="5" fillId="0" borderId="20" xfId="3" applyFont="1" applyBorder="1" applyAlignment="1">
      <alignment horizontal="center"/>
    </xf>
    <xf numFmtId="178" fontId="5" fillId="0" borderId="1" xfId="3" applyNumberFormat="1" applyFont="1" applyBorder="1"/>
    <xf numFmtId="10" fontId="5" fillId="0" borderId="1" xfId="3" applyNumberFormat="1" applyFont="1" applyBorder="1"/>
    <xf numFmtId="0" fontId="5" fillId="0" borderId="16" xfId="3" applyFont="1" applyBorder="1"/>
    <xf numFmtId="0" fontId="0" fillId="5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72" fontId="5" fillId="0" borderId="14" xfId="5" applyNumberFormat="1" applyFont="1" applyBorder="1" applyAlignment="1">
      <alignment horizontal="center"/>
    </xf>
    <xf numFmtId="3" fontId="5" fillId="5" borderId="14" xfId="3" applyNumberFormat="1" applyFont="1" applyFill="1" applyBorder="1" applyAlignment="1">
      <alignment horizontal="center"/>
    </xf>
    <xf numFmtId="0" fontId="10" fillId="0" borderId="16" xfId="3" applyFont="1" applyBorder="1"/>
    <xf numFmtId="0" fontId="0" fillId="0" borderId="16" xfId="0" applyBorder="1"/>
    <xf numFmtId="0" fontId="10" fillId="0" borderId="18" xfId="3" applyFont="1" applyBorder="1"/>
    <xf numFmtId="0" fontId="22" fillId="6" borderId="21" xfId="3" applyFont="1" applyFill="1" applyBorder="1" applyAlignment="1">
      <alignment vertical="center" wrapText="1"/>
    </xf>
    <xf numFmtId="0" fontId="23" fillId="6" borderId="15" xfId="3" applyFont="1" applyFill="1" applyBorder="1" applyAlignment="1">
      <alignment horizontal="center" vertical="center" wrapText="1"/>
    </xf>
    <xf numFmtId="0" fontId="22" fillId="6" borderId="23" xfId="3" applyFont="1" applyFill="1" applyBorder="1" applyAlignment="1">
      <alignment vertical="center" wrapText="1"/>
    </xf>
    <xf numFmtId="0" fontId="5" fillId="6" borderId="20" xfId="3" applyFont="1" applyFill="1" applyBorder="1" applyAlignment="1">
      <alignment horizontal="center" vertical="center" wrapText="1"/>
    </xf>
    <xf numFmtId="4" fontId="5" fillId="0" borderId="1" xfId="3" applyNumberFormat="1" applyFont="1" applyBorder="1" applyAlignment="1">
      <alignment horizontal="right"/>
    </xf>
    <xf numFmtId="2" fontId="5" fillId="0" borderId="1" xfId="3" applyNumberFormat="1" applyFont="1" applyBorder="1" applyAlignment="1">
      <alignment horizontal="right"/>
    </xf>
    <xf numFmtId="0" fontId="5" fillId="0" borderId="25" xfId="3" applyFont="1" applyBorder="1" applyAlignment="1">
      <alignment horizontal="center"/>
    </xf>
    <xf numFmtId="0" fontId="11" fillId="0" borderId="13" xfId="3" applyFont="1" applyBorder="1" applyAlignment="1">
      <alignment horizontal="left" wrapText="1"/>
    </xf>
    <xf numFmtId="164" fontId="5" fillId="0" borderId="14" xfId="3" applyNumberFormat="1" applyFont="1" applyBorder="1"/>
    <xf numFmtId="1" fontId="11" fillId="5" borderId="14" xfId="3" applyNumberFormat="1" applyFont="1" applyFill="1" applyBorder="1" applyAlignment="1">
      <alignment horizontal="right" vertical="center"/>
    </xf>
    <xf numFmtId="2" fontId="5" fillId="0" borderId="18" xfId="4" applyNumberFormat="1" applyFont="1" applyBorder="1" applyAlignment="1">
      <alignment horizontal="left"/>
    </xf>
    <xf numFmtId="4" fontId="10" fillId="0" borderId="19" xfId="3" applyNumberFormat="1" applyFont="1" applyBorder="1" applyAlignment="1">
      <alignment horizontal="right"/>
    </xf>
    <xf numFmtId="0" fontId="5" fillId="0" borderId="26" xfId="3" applyFont="1" applyBorder="1" applyAlignment="1">
      <alignment horizontal="left"/>
    </xf>
    <xf numFmtId="4" fontId="5" fillId="0" borderId="27" xfId="3" applyNumberFormat="1" applyFont="1" applyBorder="1" applyAlignment="1">
      <alignment horizontal="right"/>
    </xf>
    <xf numFmtId="0" fontId="5" fillId="8" borderId="13" xfId="3" applyFont="1" applyFill="1" applyBorder="1"/>
    <xf numFmtId="0" fontId="5" fillId="8" borderId="14" xfId="3" applyFont="1" applyFill="1" applyBorder="1"/>
    <xf numFmtId="3" fontId="5" fillId="8" borderId="14" xfId="3" applyNumberFormat="1" applyFont="1" applyFill="1" applyBorder="1" applyAlignment="1">
      <alignment horizontal="center"/>
    </xf>
    <xf numFmtId="0" fontId="5" fillId="8" borderId="19" xfId="3" applyFont="1" applyFill="1" applyBorder="1"/>
    <xf numFmtId="10" fontId="5" fillId="8" borderId="19" xfId="3" applyNumberFormat="1" applyFont="1" applyFill="1" applyBorder="1" applyAlignment="1">
      <alignment horizontal="center"/>
    </xf>
    <xf numFmtId="0" fontId="10" fillId="8" borderId="18" xfId="3" applyFont="1" applyFill="1" applyBorder="1" applyAlignment="1">
      <alignment vertical="center"/>
    </xf>
    <xf numFmtId="0" fontId="5" fillId="8" borderId="19" xfId="3" applyFont="1" applyFill="1" applyBorder="1" applyAlignment="1">
      <alignment vertical="center"/>
    </xf>
    <xf numFmtId="2" fontId="5" fillId="8" borderId="19" xfId="3" applyNumberFormat="1" applyFont="1" applyFill="1" applyBorder="1" applyAlignment="1">
      <alignment horizontal="right"/>
    </xf>
    <xf numFmtId="0" fontId="10" fillId="8" borderId="18" xfId="3" applyFont="1" applyFill="1" applyBorder="1"/>
    <xf numFmtId="9" fontId="5" fillId="8" borderId="19" xfId="3" applyNumberFormat="1" applyFont="1" applyFill="1" applyBorder="1"/>
    <xf numFmtId="174" fontId="12" fillId="8" borderId="19" xfId="6" applyNumberFormat="1" applyFont="1" applyFill="1" applyBorder="1" applyAlignment="1">
      <alignment vertical="center"/>
    </xf>
    <xf numFmtId="0" fontId="22" fillId="8" borderId="23" xfId="3" applyFont="1" applyFill="1" applyBorder="1" applyAlignment="1">
      <alignment horizontal="left"/>
    </xf>
    <xf numFmtId="0" fontId="5" fillId="0" borderId="21" xfId="3" applyFont="1" applyBorder="1"/>
    <xf numFmtId="0" fontId="5" fillId="0" borderId="29" xfId="3" applyFont="1" applyBorder="1"/>
    <xf numFmtId="0" fontId="5" fillId="0" borderId="30" xfId="3" applyFont="1" applyBorder="1"/>
    <xf numFmtId="0" fontId="5" fillId="0" borderId="31" xfId="3" applyFont="1" applyBorder="1"/>
    <xf numFmtId="174" fontId="12" fillId="0" borderId="33" xfId="6" applyNumberFormat="1" applyFont="1" applyBorder="1" applyAlignment="1">
      <alignment vertical="center"/>
    </xf>
    <xf numFmtId="173" fontId="12" fillId="0" borderId="35" xfId="6" applyNumberFormat="1" applyFont="1" applyBorder="1" applyAlignment="1">
      <alignment horizontal="center"/>
    </xf>
    <xf numFmtId="4" fontId="5" fillId="0" borderId="0" xfId="3" applyNumberFormat="1" applyFont="1" applyAlignment="1">
      <alignment horizontal="right"/>
    </xf>
    <xf numFmtId="0" fontId="5" fillId="0" borderId="0" xfId="3" applyFont="1" applyAlignment="1">
      <alignment horizontal="left"/>
    </xf>
    <xf numFmtId="170" fontId="3" fillId="0" borderId="0" xfId="3" applyNumberFormat="1" applyFont="1" applyAlignment="1">
      <alignment horizontal="right" vertical="center"/>
    </xf>
    <xf numFmtId="2" fontId="5" fillId="0" borderId="0" xfId="4" applyNumberFormat="1" applyFont="1" applyFill="1" applyBorder="1" applyAlignment="1">
      <alignment horizontal="left"/>
    </xf>
    <xf numFmtId="4" fontId="10" fillId="0" borderId="0" xfId="3" applyNumberFormat="1" applyFont="1" applyAlignment="1">
      <alignment horizontal="right"/>
    </xf>
    <xf numFmtId="0" fontId="11" fillId="0" borderId="0" xfId="3" applyFont="1" applyAlignment="1">
      <alignment horizontal="left" wrapText="1"/>
    </xf>
    <xf numFmtId="164" fontId="5" fillId="0" borderId="0" xfId="3" applyNumberFormat="1" applyFont="1"/>
    <xf numFmtId="1" fontId="11" fillId="0" borderId="0" xfId="3" applyNumberFormat="1" applyFont="1" applyAlignment="1">
      <alignment horizontal="right" vertical="center"/>
    </xf>
    <xf numFmtId="2" fontId="5" fillId="0" borderId="0" xfId="3" applyNumberFormat="1" applyFont="1" applyAlignment="1">
      <alignment horizontal="right"/>
    </xf>
    <xf numFmtId="178" fontId="5" fillId="0" borderId="0" xfId="3" applyNumberFormat="1" applyFont="1"/>
    <xf numFmtId="10" fontId="5" fillId="0" borderId="0" xfId="3" applyNumberFormat="1" applyFont="1"/>
    <xf numFmtId="172" fontId="5" fillId="0" borderId="0" xfId="5" applyNumberFormat="1" applyFont="1" applyFill="1" applyBorder="1" applyAlignment="1">
      <alignment horizontal="center"/>
    </xf>
    <xf numFmtId="3" fontId="5" fillId="0" borderId="0" xfId="3" applyNumberFormat="1" applyFont="1" applyAlignment="1">
      <alignment horizontal="center"/>
    </xf>
    <xf numFmtId="172" fontId="5" fillId="0" borderId="0" xfId="3" applyNumberFormat="1" applyFont="1" applyAlignment="1">
      <alignment horizontal="center"/>
    </xf>
    <xf numFmtId="172" fontId="5" fillId="0" borderId="0" xfId="3" applyNumberFormat="1" applyFont="1" applyAlignment="1">
      <alignment horizontal="center" vertical="center"/>
    </xf>
    <xf numFmtId="3" fontId="5" fillId="0" borderId="0" xfId="3" applyNumberFormat="1" applyFont="1" applyAlignment="1">
      <alignment horizontal="center" vertical="center"/>
    </xf>
    <xf numFmtId="9" fontId="5" fillId="0" borderId="0" xfId="3" applyNumberFormat="1" applyFont="1"/>
    <xf numFmtId="174" fontId="12" fillId="0" borderId="0" xfId="6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1" fillId="0" borderId="0" xfId="3" applyFont="1" applyAlignment="1">
      <alignment horizontal="left"/>
    </xf>
    <xf numFmtId="0" fontId="0" fillId="0" borderId="0" xfId="0" applyAlignment="1">
      <alignment wrapText="1"/>
    </xf>
    <xf numFmtId="10" fontId="0" fillId="0" borderId="0" xfId="0" applyNumberFormat="1" applyAlignment="1">
      <alignment horizontal="center"/>
    </xf>
    <xf numFmtId="0" fontId="22" fillId="0" borderId="0" xfId="3" applyFont="1" applyAlignment="1">
      <alignment horizontal="left"/>
    </xf>
    <xf numFmtId="10" fontId="5" fillId="0" borderId="0" xfId="3" applyNumberFormat="1" applyFont="1" applyAlignment="1">
      <alignment horizontal="center"/>
    </xf>
    <xf numFmtId="3" fontId="10" fillId="0" borderId="0" xfId="3" applyNumberFormat="1" applyFont="1" applyAlignment="1">
      <alignment horizontal="center"/>
    </xf>
    <xf numFmtId="2" fontId="10" fillId="0" borderId="0" xfId="3" applyNumberFormat="1" applyFont="1"/>
    <xf numFmtId="3" fontId="5" fillId="0" borderId="0" xfId="1" applyNumberFormat="1" applyFont="1" applyFill="1" applyBorder="1" applyAlignment="1">
      <alignment horizontal="center"/>
    </xf>
    <xf numFmtId="0" fontId="21" fillId="13" borderId="18" xfId="3" applyFont="1" applyFill="1" applyBorder="1" applyAlignment="1">
      <alignment horizontal="center" vertical="center" wrapText="1"/>
    </xf>
    <xf numFmtId="0" fontId="21" fillId="13" borderId="19" xfId="3" applyFont="1" applyFill="1" applyBorder="1" applyAlignment="1">
      <alignment horizontal="center" vertical="center" wrapText="1"/>
    </xf>
    <xf numFmtId="0" fontId="0" fillId="0" borderId="13" xfId="0" applyBorder="1"/>
    <xf numFmtId="0" fontId="0" fillId="5" borderId="14" xfId="0" applyFill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0" fontId="0" fillId="5" borderId="19" xfId="0" applyFill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0" fontId="11" fillId="0" borderId="36" xfId="3" applyFont="1" applyBorder="1" applyAlignment="1">
      <alignment horizontal="left"/>
    </xf>
    <xf numFmtId="0" fontId="0" fillId="5" borderId="37" xfId="0" applyFill="1" applyBorder="1" applyAlignment="1">
      <alignment horizontal="center"/>
    </xf>
    <xf numFmtId="3" fontId="0" fillId="0" borderId="37" xfId="0" applyNumberFormat="1" applyBorder="1" applyAlignment="1">
      <alignment horizontal="center"/>
    </xf>
    <xf numFmtId="0" fontId="5" fillId="0" borderId="36" xfId="3" applyFont="1" applyBorder="1"/>
    <xf numFmtId="0" fontId="5" fillId="0" borderId="37" xfId="3" applyFont="1" applyBorder="1"/>
    <xf numFmtId="3" fontId="5" fillId="0" borderId="37" xfId="3" applyNumberFormat="1" applyFont="1" applyBorder="1" applyAlignment="1">
      <alignment horizontal="center"/>
    </xf>
    <xf numFmtId="0" fontId="0" fillId="0" borderId="13" xfId="0" applyBorder="1" applyAlignment="1">
      <alignment wrapText="1"/>
    </xf>
    <xf numFmtId="10" fontId="0" fillId="5" borderId="14" xfId="0" applyNumberFormat="1" applyFill="1" applyBorder="1" applyAlignment="1">
      <alignment horizontal="center"/>
    </xf>
    <xf numFmtId="0" fontId="0" fillId="0" borderId="18" xfId="0" applyBorder="1" applyAlignment="1">
      <alignment wrapText="1"/>
    </xf>
    <xf numFmtId="10" fontId="0" fillId="5" borderId="19" xfId="0" applyNumberFormat="1" applyFill="1" applyBorder="1" applyAlignment="1">
      <alignment horizontal="center"/>
    </xf>
    <xf numFmtId="3" fontId="5" fillId="0" borderId="19" xfId="3" applyNumberFormat="1" applyFont="1" applyBorder="1" applyAlignment="1">
      <alignment horizontal="center"/>
    </xf>
    <xf numFmtId="0" fontId="10" fillId="12" borderId="38" xfId="3" applyFont="1" applyFill="1" applyBorder="1"/>
    <xf numFmtId="1" fontId="5" fillId="12" borderId="39" xfId="3" applyNumberFormat="1" applyFont="1" applyFill="1" applyBorder="1"/>
    <xf numFmtId="3" fontId="10" fillId="12" borderId="39" xfId="3" applyNumberFormat="1" applyFont="1" applyFill="1" applyBorder="1" applyAlignment="1">
      <alignment horizontal="center"/>
    </xf>
    <xf numFmtId="2" fontId="5" fillId="0" borderId="1" xfId="3" applyNumberFormat="1" applyFont="1" applyBorder="1"/>
    <xf numFmtId="0" fontId="5" fillId="0" borderId="24" xfId="3" applyFont="1" applyBorder="1"/>
    <xf numFmtId="0" fontId="5" fillId="0" borderId="22" xfId="3" applyFont="1" applyBorder="1" applyAlignment="1">
      <alignment vertical="center"/>
    </xf>
    <xf numFmtId="172" fontId="5" fillId="0" borderId="9" xfId="3" applyNumberFormat="1" applyFont="1" applyBorder="1" applyAlignment="1">
      <alignment horizontal="center" vertical="center"/>
    </xf>
    <xf numFmtId="3" fontId="5" fillId="11" borderId="14" xfId="3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14" borderId="0" xfId="0" applyFill="1"/>
    <xf numFmtId="0" fontId="3" fillId="14" borderId="0" xfId="0" applyFont="1" applyFill="1"/>
    <xf numFmtId="0" fontId="10" fillId="0" borderId="31" xfId="3" applyFont="1" applyBorder="1"/>
    <xf numFmtId="173" fontId="12" fillId="0" borderId="32" xfId="6" applyNumberFormat="1" applyFont="1" applyBorder="1" applyAlignment="1">
      <alignment horizontal="center"/>
    </xf>
    <xf numFmtId="0" fontId="10" fillId="0" borderId="33" xfId="3" applyFont="1" applyBorder="1"/>
    <xf numFmtId="0" fontId="5" fillId="0" borderId="34" xfId="3" applyFont="1" applyBorder="1" applyAlignment="1">
      <alignment horizontal="center"/>
    </xf>
    <xf numFmtId="2" fontId="5" fillId="0" borderId="1" xfId="3" applyNumberFormat="1" applyFont="1" applyBorder="1" applyAlignment="1">
      <alignment horizontal="center"/>
    </xf>
    <xf numFmtId="171" fontId="5" fillId="0" borderId="1" xfId="3" applyNumberFormat="1" applyFont="1" applyBorder="1" applyAlignment="1">
      <alignment horizontal="center"/>
    </xf>
    <xf numFmtId="10" fontId="5" fillId="0" borderId="1" xfId="3" applyNumberFormat="1" applyFont="1" applyBorder="1" applyAlignment="1">
      <alignment horizontal="center"/>
    </xf>
    <xf numFmtId="2" fontId="5" fillId="5" borderId="1" xfId="3" applyNumberFormat="1" applyFont="1" applyFill="1" applyBorder="1" applyAlignment="1">
      <alignment horizontal="center"/>
    </xf>
    <xf numFmtId="9" fontId="5" fillId="0" borderId="1" xfId="3" applyNumberFormat="1" applyFont="1" applyBorder="1" applyAlignment="1">
      <alignment horizontal="center"/>
    </xf>
    <xf numFmtId="0" fontId="5" fillId="0" borderId="11" xfId="3" applyFont="1" applyBorder="1"/>
    <xf numFmtId="9" fontId="5" fillId="0" borderId="11" xfId="3" applyNumberFormat="1" applyFont="1" applyBorder="1" applyAlignment="1">
      <alignment horizontal="center"/>
    </xf>
    <xf numFmtId="2" fontId="5" fillId="0" borderId="11" xfId="3" applyNumberFormat="1" applyFont="1" applyBorder="1" applyAlignment="1">
      <alignment horizontal="center"/>
    </xf>
    <xf numFmtId="0" fontId="10" fillId="0" borderId="26" xfId="3" applyFont="1" applyBorder="1" applyAlignment="1">
      <alignment vertical="center"/>
    </xf>
    <xf numFmtId="0" fontId="5" fillId="0" borderId="27" xfId="3" applyFont="1" applyBorder="1" applyAlignment="1">
      <alignment horizontal="center" vertical="center"/>
    </xf>
    <xf numFmtId="2" fontId="10" fillId="2" borderId="27" xfId="3" applyNumberFormat="1" applyFont="1" applyFill="1" applyBorder="1" applyAlignment="1">
      <alignment horizontal="center" vertical="center"/>
    </xf>
    <xf numFmtId="2" fontId="10" fillId="2" borderId="28" xfId="3" applyNumberFormat="1" applyFont="1" applyFill="1" applyBorder="1" applyAlignment="1">
      <alignment horizontal="center" vertical="center"/>
    </xf>
    <xf numFmtId="172" fontId="5" fillId="5" borderId="14" xfId="5" applyNumberFormat="1" applyFont="1" applyFill="1" applyBorder="1" applyAlignment="1">
      <alignment horizontal="center"/>
    </xf>
    <xf numFmtId="2" fontId="5" fillId="0" borderId="14" xfId="3" applyNumberFormat="1" applyFont="1" applyBorder="1" applyAlignment="1">
      <alignment horizontal="center"/>
    </xf>
    <xf numFmtId="2" fontId="5" fillId="0" borderId="15" xfId="3" applyNumberFormat="1" applyFont="1" applyBorder="1" applyAlignment="1">
      <alignment horizontal="center"/>
    </xf>
    <xf numFmtId="2" fontId="5" fillId="0" borderId="17" xfId="3" applyNumberFormat="1" applyFont="1" applyBorder="1" applyAlignment="1">
      <alignment horizontal="center"/>
    </xf>
    <xf numFmtId="0" fontId="5" fillId="0" borderId="18" xfId="3" applyFont="1" applyBorder="1"/>
    <xf numFmtId="9" fontId="5" fillId="0" borderId="19" xfId="3" applyNumberFormat="1" applyFont="1" applyBorder="1" applyAlignment="1">
      <alignment horizontal="center"/>
    </xf>
    <xf numFmtId="2" fontId="5" fillId="0" borderId="19" xfId="3" applyNumberFormat="1" applyFont="1" applyBorder="1" applyAlignment="1">
      <alignment horizontal="center"/>
    </xf>
    <xf numFmtId="2" fontId="5" fillId="0" borderId="20" xfId="3" applyNumberFormat="1" applyFont="1" applyBorder="1" applyAlignment="1">
      <alignment horizontal="center"/>
    </xf>
    <xf numFmtId="1" fontId="0" fillId="0" borderId="1" xfId="0" applyNumberFormat="1" applyBorder="1"/>
    <xf numFmtId="0" fontId="10" fillId="0" borderId="13" xfId="3" applyFont="1" applyBorder="1"/>
    <xf numFmtId="0" fontId="0" fillId="0" borderId="14" xfId="0" applyBorder="1"/>
    <xf numFmtId="3" fontId="0" fillId="0" borderId="14" xfId="0" applyNumberFormat="1" applyBorder="1"/>
    <xf numFmtId="0" fontId="0" fillId="0" borderId="19" xfId="0" applyBorder="1"/>
    <xf numFmtId="1" fontId="0" fillId="0" borderId="19" xfId="0" applyNumberFormat="1" applyBorder="1"/>
    <xf numFmtId="0" fontId="19" fillId="9" borderId="13" xfId="0" applyFont="1" applyFill="1" applyBorder="1" applyAlignment="1">
      <alignment horizontal="left" vertical="center" wrapText="1"/>
    </xf>
    <xf numFmtId="0" fontId="16" fillId="0" borderId="14" xfId="0" applyFont="1" applyBorder="1" applyAlignment="1">
      <alignment horizontal="center" vertical="center"/>
    </xf>
    <xf numFmtId="0" fontId="0" fillId="0" borderId="30" xfId="0" applyBorder="1"/>
    <xf numFmtId="0" fontId="19" fillId="9" borderId="16" xfId="0" applyFont="1" applyFill="1" applyBorder="1" applyAlignment="1">
      <alignment horizontal="left" vertical="center" wrapText="1"/>
    </xf>
    <xf numFmtId="0" fontId="0" fillId="0" borderId="32" xfId="0" applyBorder="1"/>
    <xf numFmtId="0" fontId="0" fillId="0" borderId="17" xfId="0" applyBorder="1"/>
    <xf numFmtId="0" fontId="19" fillId="9" borderId="18" xfId="0" applyFont="1" applyFill="1" applyBorder="1" applyAlignment="1">
      <alignment horizontal="left" vertical="center" wrapText="1"/>
    </xf>
    <xf numFmtId="0" fontId="17" fillId="0" borderId="19" xfId="0" applyFont="1" applyBorder="1" applyAlignment="1">
      <alignment horizontal="center" vertical="center"/>
    </xf>
    <xf numFmtId="0" fontId="0" fillId="0" borderId="20" xfId="0" applyBorder="1"/>
    <xf numFmtId="4" fontId="5" fillId="2" borderId="14" xfId="3" applyNumberFormat="1" applyFont="1" applyFill="1" applyBorder="1" applyAlignment="1">
      <alignment horizontal="center"/>
    </xf>
    <xf numFmtId="0" fontId="5" fillId="0" borderId="18" xfId="3" applyFont="1" applyBorder="1" applyAlignment="1">
      <alignment horizontal="left"/>
    </xf>
    <xf numFmtId="164" fontId="5" fillId="0" borderId="19" xfId="3" applyNumberFormat="1" applyFont="1" applyBorder="1"/>
    <xf numFmtId="4" fontId="5" fillId="2" borderId="19" xfId="3" applyNumberFormat="1" applyFont="1" applyFill="1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2" borderId="0" xfId="0" applyFill="1"/>
    <xf numFmtId="0" fontId="16" fillId="0" borderId="0" xfId="0" applyFont="1" applyAlignment="1">
      <alignment horizontal="center" vertical="center"/>
    </xf>
    <xf numFmtId="0" fontId="5" fillId="0" borderId="32" xfId="3" applyFont="1" applyBorder="1"/>
    <xf numFmtId="179" fontId="5" fillId="5" borderId="14" xfId="3" applyNumberFormat="1" applyFont="1" applyFill="1" applyBorder="1" applyAlignment="1">
      <alignment horizontal="center"/>
    </xf>
    <xf numFmtId="3" fontId="5" fillId="7" borderId="1" xfId="3" applyNumberFormat="1" applyFont="1" applyFill="1" applyBorder="1" applyAlignment="1">
      <alignment horizontal="center"/>
    </xf>
    <xf numFmtId="4" fontId="5" fillId="5" borderId="9" xfId="3" applyNumberFormat="1" applyFont="1" applyFill="1" applyBorder="1" applyAlignment="1">
      <alignment horizontal="center" vertical="center"/>
    </xf>
    <xf numFmtId="0" fontId="8" fillId="0" borderId="41" xfId="3" applyFont="1" applyBorder="1" applyAlignment="1">
      <alignment vertical="center"/>
    </xf>
    <xf numFmtId="0" fontId="0" fillId="0" borderId="16" xfId="0" applyBorder="1" applyAlignment="1">
      <alignment wrapText="1"/>
    </xf>
    <xf numFmtId="0" fontId="11" fillId="0" borderId="18" xfId="3" applyFont="1" applyBorder="1" applyAlignment="1">
      <alignment horizontal="left" wrapText="1"/>
    </xf>
    <xf numFmtId="0" fontId="5" fillId="0" borderId="40" xfId="3" applyFont="1" applyBorder="1"/>
    <xf numFmtId="0" fontId="5" fillId="0" borderId="4" xfId="3" applyFont="1" applyBorder="1" applyAlignment="1">
      <alignment horizontal="left"/>
    </xf>
    <xf numFmtId="2" fontId="5" fillId="0" borderId="4" xfId="4" applyNumberFormat="1" applyFont="1" applyBorder="1" applyAlignment="1">
      <alignment horizontal="left"/>
    </xf>
    <xf numFmtId="0" fontId="11" fillId="0" borderId="40" xfId="3" applyFont="1" applyBorder="1" applyAlignment="1">
      <alignment horizontal="left" wrapText="1"/>
    </xf>
    <xf numFmtId="0" fontId="5" fillId="0" borderId="4" xfId="3" applyFont="1" applyBorder="1"/>
    <xf numFmtId="0" fontId="10" fillId="8" borderId="45" xfId="3" applyFont="1" applyFill="1" applyBorder="1" applyAlignment="1">
      <alignment vertical="center"/>
    </xf>
    <xf numFmtId="0" fontId="5" fillId="0" borderId="46" xfId="3" applyFont="1" applyBorder="1"/>
    <xf numFmtId="0" fontId="5" fillId="0" borderId="6" xfId="3" applyFont="1" applyBorder="1" applyAlignment="1">
      <alignment vertical="center"/>
    </xf>
    <xf numFmtId="0" fontId="10" fillId="8" borderId="45" xfId="3" applyFont="1" applyFill="1" applyBorder="1"/>
    <xf numFmtId="0" fontId="0" fillId="0" borderId="40" xfId="0" applyBorder="1" applyAlignment="1">
      <alignment wrapText="1"/>
    </xf>
    <xf numFmtId="0" fontId="0" fillId="0" borderId="4" xfId="0" applyBorder="1" applyAlignment="1">
      <alignment wrapText="1"/>
    </xf>
    <xf numFmtId="0" fontId="11" fillId="0" borderId="45" xfId="3" applyFont="1" applyBorder="1" applyAlignment="1">
      <alignment horizontal="left" wrapText="1"/>
    </xf>
    <xf numFmtId="0" fontId="11" fillId="0" borderId="12" xfId="3" applyFont="1" applyBorder="1" applyAlignment="1">
      <alignment horizontal="left"/>
    </xf>
    <xf numFmtId="0" fontId="0" fillId="0" borderId="45" xfId="0" applyBorder="1" applyAlignment="1">
      <alignment wrapText="1"/>
    </xf>
    <xf numFmtId="0" fontId="5" fillId="0" borderId="12" xfId="3" applyFont="1" applyBorder="1"/>
    <xf numFmtId="0" fontId="5" fillId="8" borderId="40" xfId="3" applyFont="1" applyFill="1" applyBorder="1"/>
    <xf numFmtId="0" fontId="22" fillId="8" borderId="47" xfId="3" applyFont="1" applyFill="1" applyBorder="1" applyAlignment="1">
      <alignment horizontal="left"/>
    </xf>
    <xf numFmtId="0" fontId="10" fillId="12" borderId="48" xfId="3" applyFont="1" applyFill="1" applyBorder="1"/>
    <xf numFmtId="0" fontId="10" fillId="0" borderId="4" xfId="3" applyFont="1" applyBorder="1"/>
    <xf numFmtId="0" fontId="5" fillId="0" borderId="22" xfId="3" applyFont="1" applyBorder="1"/>
    <xf numFmtId="0" fontId="5" fillId="0" borderId="6" xfId="3" applyFont="1" applyBorder="1"/>
    <xf numFmtId="9" fontId="5" fillId="0" borderId="9" xfId="3" applyNumberFormat="1" applyFont="1" applyBorder="1" applyAlignment="1">
      <alignment horizontal="center"/>
    </xf>
    <xf numFmtId="2" fontId="5" fillId="0" borderId="9" xfId="3" applyNumberFormat="1" applyFont="1" applyBorder="1" applyAlignment="1">
      <alignment horizontal="center"/>
    </xf>
    <xf numFmtId="4" fontId="5" fillId="0" borderId="14" xfId="3" applyNumberFormat="1" applyFont="1" applyBorder="1" applyAlignment="1">
      <alignment horizontal="right"/>
    </xf>
    <xf numFmtId="170" fontId="6" fillId="0" borderId="1" xfId="3" applyNumberFormat="1" applyFont="1" applyBorder="1" applyAlignment="1">
      <alignment horizontal="right" vertical="center"/>
    </xf>
    <xf numFmtId="0" fontId="10" fillId="0" borderId="46" xfId="3" applyFont="1" applyBorder="1"/>
    <xf numFmtId="3" fontId="5" fillId="5" borderId="11" xfId="1" applyNumberFormat="1" applyFont="1" applyFill="1" applyBorder="1" applyAlignment="1">
      <alignment horizontal="center"/>
    </xf>
    <xf numFmtId="0" fontId="10" fillId="3" borderId="26" xfId="3" applyFont="1" applyFill="1" applyBorder="1"/>
    <xf numFmtId="0" fontId="10" fillId="3" borderId="44" xfId="3" applyFont="1" applyFill="1" applyBorder="1"/>
    <xf numFmtId="3" fontId="10" fillId="3" borderId="27" xfId="3" applyNumberFormat="1" applyFont="1" applyFill="1" applyBorder="1" applyAlignment="1">
      <alignment horizontal="center"/>
    </xf>
    <xf numFmtId="0" fontId="8" fillId="0" borderId="2" xfId="3" applyFont="1" applyBorder="1" applyAlignment="1">
      <alignment vertical="center"/>
    </xf>
    <xf numFmtId="0" fontId="5" fillId="0" borderId="49" xfId="3" applyFont="1" applyBorder="1"/>
    <xf numFmtId="0" fontId="5" fillId="0" borderId="4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0" fontId="5" fillId="0" borderId="49" xfId="3" applyFont="1" applyBorder="1" applyAlignment="1">
      <alignment horizontal="center"/>
    </xf>
    <xf numFmtId="0" fontId="5" fillId="8" borderId="49" xfId="3" applyFont="1" applyFill="1" applyBorder="1" applyAlignment="1">
      <alignment horizontal="center"/>
    </xf>
    <xf numFmtId="0" fontId="5" fillId="0" borderId="43" xfId="3" applyFont="1" applyBorder="1" applyAlignment="1">
      <alignment horizontal="center"/>
    </xf>
    <xf numFmtId="0" fontId="5" fillId="0" borderId="50" xfId="3" applyFont="1" applyBorder="1" applyAlignment="1">
      <alignment horizontal="center"/>
    </xf>
    <xf numFmtId="0" fontId="5" fillId="0" borderId="5" xfId="3" applyFont="1" applyBorder="1" applyAlignment="1">
      <alignment horizontal="center"/>
    </xf>
    <xf numFmtId="0" fontId="5" fillId="0" borderId="5" xfId="3" applyFont="1" applyBorder="1" applyAlignment="1">
      <alignment horizontal="center" vertical="center"/>
    </xf>
    <xf numFmtId="0" fontId="5" fillId="0" borderId="42" xfId="3" applyFont="1" applyBorder="1" applyAlignment="1">
      <alignment horizontal="center"/>
    </xf>
    <xf numFmtId="0" fontId="5" fillId="8" borderId="51" xfId="3" applyFont="1" applyFill="1" applyBorder="1" applyAlignment="1">
      <alignment horizontal="center"/>
    </xf>
    <xf numFmtId="0" fontId="5" fillId="12" borderId="52" xfId="3" applyFont="1" applyFill="1" applyBorder="1" applyAlignment="1">
      <alignment horizontal="center"/>
    </xf>
    <xf numFmtId="0" fontId="10" fillId="3" borderId="43" xfId="3" applyFont="1" applyFill="1" applyBorder="1" applyAlignment="1">
      <alignment horizontal="center"/>
    </xf>
    <xf numFmtId="0" fontId="5" fillId="0" borderId="53" xfId="3" applyFont="1" applyBorder="1"/>
    <xf numFmtId="0" fontId="5" fillId="2" borderId="54" xfId="3" applyFont="1" applyFill="1" applyBorder="1"/>
    <xf numFmtId="0" fontId="5" fillId="2" borderId="53" xfId="3" applyFont="1" applyFill="1" applyBorder="1"/>
    <xf numFmtId="2" fontId="5" fillId="2" borderId="53" xfId="3" applyNumberFormat="1" applyFont="1" applyFill="1" applyBorder="1"/>
    <xf numFmtId="2" fontId="5" fillId="2" borderId="55" xfId="3" applyNumberFormat="1" applyFont="1" applyFill="1" applyBorder="1" applyAlignment="1">
      <alignment wrapText="1"/>
    </xf>
    <xf numFmtId="2" fontId="5" fillId="2" borderId="53" xfId="3" applyNumberFormat="1" applyFont="1" applyFill="1" applyBorder="1" applyAlignment="1">
      <alignment horizontal="left"/>
    </xf>
    <xf numFmtId="3" fontId="5" fillId="2" borderId="53" xfId="3" applyNumberFormat="1" applyFont="1" applyFill="1" applyBorder="1" applyAlignment="1">
      <alignment horizontal="left"/>
    </xf>
    <xf numFmtId="0" fontId="5" fillId="2" borderId="53" xfId="3" applyFont="1" applyFill="1" applyBorder="1" applyAlignment="1">
      <alignment horizontal="left"/>
    </xf>
    <xf numFmtId="0" fontId="17" fillId="2" borderId="53" xfId="3" applyFont="1" applyFill="1" applyBorder="1" applyAlignment="1">
      <alignment horizontal="center" wrapText="1"/>
    </xf>
    <xf numFmtId="0" fontId="5" fillId="2" borderId="55" xfId="3" applyFont="1" applyFill="1" applyBorder="1"/>
    <xf numFmtId="169" fontId="5" fillId="0" borderId="31" xfId="3" applyNumberFormat="1" applyFont="1" applyBorder="1"/>
    <xf numFmtId="0" fontId="5" fillId="15" borderId="18" xfId="3" applyFont="1" applyFill="1" applyBorder="1"/>
    <xf numFmtId="0" fontId="5" fillId="15" borderId="45" xfId="3" applyFont="1" applyFill="1" applyBorder="1"/>
    <xf numFmtId="172" fontId="5" fillId="15" borderId="19" xfId="3" applyNumberFormat="1" applyFont="1" applyFill="1" applyBorder="1" applyAlignment="1">
      <alignment horizontal="center"/>
    </xf>
    <xf numFmtId="3" fontId="5" fillId="15" borderId="19" xfId="3" applyNumberFormat="1" applyFont="1" applyFill="1" applyBorder="1" applyAlignment="1">
      <alignment horizontal="center"/>
    </xf>
    <xf numFmtId="0" fontId="5" fillId="15" borderId="49" xfId="3" applyFont="1" applyFill="1" applyBorder="1" applyAlignment="1">
      <alignment horizontal="center"/>
    </xf>
    <xf numFmtId="0" fontId="5" fillId="15" borderId="20" xfId="3" applyFont="1" applyFill="1" applyBorder="1" applyAlignment="1">
      <alignment horizontal="center"/>
    </xf>
    <xf numFmtId="0" fontId="5" fillId="7" borderId="0" xfId="3" applyFont="1" applyFill="1"/>
    <xf numFmtId="0" fontId="5" fillId="7" borderId="0" xfId="3" applyFont="1" applyFill="1" applyAlignment="1">
      <alignment vertical="center"/>
    </xf>
    <xf numFmtId="174" fontId="5" fillId="7" borderId="0" xfId="3" applyNumberFormat="1" applyFont="1" applyFill="1"/>
    <xf numFmtId="169" fontId="17" fillId="2" borderId="15" xfId="3" applyNumberFormat="1" applyFont="1" applyFill="1" applyBorder="1"/>
    <xf numFmtId="169" fontId="17" fillId="2" borderId="17" xfId="3" applyNumberFormat="1" applyFont="1" applyFill="1" applyBorder="1"/>
    <xf numFmtId="169" fontId="17" fillId="2" borderId="20" xfId="3" applyNumberFormat="1" applyFont="1" applyFill="1" applyBorder="1"/>
    <xf numFmtId="0" fontId="7" fillId="9" borderId="14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9" borderId="19" xfId="0" applyFont="1" applyFill="1" applyBorder="1" applyAlignment="1">
      <alignment horizontal="left" vertical="center" wrapText="1"/>
    </xf>
    <xf numFmtId="0" fontId="7" fillId="9" borderId="13" xfId="0" applyFont="1" applyFill="1" applyBorder="1" applyAlignment="1">
      <alignment horizontal="left" vertical="center" wrapText="1"/>
    </xf>
    <xf numFmtId="0" fontId="7" fillId="9" borderId="16" xfId="0" applyFont="1" applyFill="1" applyBorder="1" applyAlignment="1">
      <alignment horizontal="left" vertical="center" wrapText="1"/>
    </xf>
    <xf numFmtId="0" fontId="7" fillId="9" borderId="18" xfId="0" applyFont="1" applyFill="1" applyBorder="1" applyAlignment="1">
      <alignment horizontal="left" vertical="center" wrapText="1"/>
    </xf>
    <xf numFmtId="0" fontId="17" fillId="0" borderId="0" xfId="3" applyFont="1" applyAlignment="1">
      <alignment horizontal="center" vertical="top" wrapText="1"/>
    </xf>
    <xf numFmtId="172" fontId="5" fillId="11" borderId="19" xfId="3" applyNumberFormat="1" applyFont="1" applyFill="1" applyBorder="1" applyAlignment="1">
      <alignment horizontal="center"/>
    </xf>
    <xf numFmtId="2" fontId="5" fillId="0" borderId="49" xfId="4" applyNumberFormat="1" applyFont="1" applyBorder="1" applyAlignment="1">
      <alignment wrapText="1"/>
    </xf>
    <xf numFmtId="2" fontId="5" fillId="0" borderId="45" xfId="4" applyNumberFormat="1" applyFont="1" applyBorder="1" applyAlignment="1">
      <alignment wrapText="1"/>
    </xf>
    <xf numFmtId="0" fontId="17" fillId="2" borderId="54" xfId="3" applyFont="1" applyFill="1" applyBorder="1"/>
    <xf numFmtId="169" fontId="17" fillId="2" borderId="20" xfId="3" applyNumberFormat="1" applyFont="1" applyFill="1" applyBorder="1" applyAlignment="1">
      <alignment wrapText="1"/>
    </xf>
    <xf numFmtId="0" fontId="5" fillId="2" borderId="53" xfId="3" applyFont="1" applyFill="1" applyBorder="1" applyAlignment="1">
      <alignment wrapText="1"/>
    </xf>
    <xf numFmtId="4" fontId="5" fillId="5" borderId="11" xfId="3" applyNumberFormat="1" applyFont="1" applyFill="1" applyBorder="1" applyAlignment="1">
      <alignment horizontal="center"/>
    </xf>
    <xf numFmtId="2" fontId="5" fillId="2" borderId="1" xfId="3" applyNumberFormat="1" applyFont="1" applyFill="1" applyBorder="1"/>
    <xf numFmtId="0" fontId="5" fillId="2" borderId="27" xfId="3" applyFont="1" applyFill="1" applyBorder="1"/>
    <xf numFmtId="0" fontId="5" fillId="2" borderId="19" xfId="3" applyFont="1" applyFill="1" applyBorder="1"/>
    <xf numFmtId="2" fontId="10" fillId="2" borderId="7" xfId="3" applyNumberFormat="1" applyFont="1" applyFill="1" applyBorder="1" applyAlignment="1">
      <alignment horizontal="center" vertical="center"/>
    </xf>
    <xf numFmtId="2" fontId="10" fillId="2" borderId="8" xfId="3" applyNumberFormat="1" applyFont="1" applyFill="1" applyBorder="1" applyAlignment="1">
      <alignment horizontal="center" vertical="center"/>
    </xf>
    <xf numFmtId="0" fontId="10" fillId="6" borderId="2" xfId="3" applyFont="1" applyFill="1" applyBorder="1" applyAlignment="1">
      <alignment horizontal="center" vertical="center" wrapText="1"/>
    </xf>
    <xf numFmtId="0" fontId="10" fillId="6" borderId="4" xfId="3" applyFont="1" applyFill="1" applyBorder="1" applyAlignment="1">
      <alignment horizontal="center" vertical="center" wrapText="1"/>
    </xf>
    <xf numFmtId="0" fontId="7" fillId="6" borderId="0" xfId="3" applyFont="1" applyFill="1" applyAlignment="1">
      <alignment horizontal="center" vertical="center" wrapText="1"/>
    </xf>
    <xf numFmtId="0" fontId="7" fillId="6" borderId="12" xfId="3" applyFont="1" applyFill="1" applyBorder="1" applyAlignment="1">
      <alignment horizontal="center" vertical="center" wrapText="1"/>
    </xf>
    <xf numFmtId="2" fontId="5" fillId="0" borderId="0" xfId="3" applyNumberFormat="1" applyFont="1" applyAlignment="1">
      <alignment horizont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2" fontId="5" fillId="5" borderId="0" xfId="3" applyNumberFormat="1" applyFont="1" applyFill="1" applyAlignment="1">
      <alignment horizontal="center"/>
    </xf>
    <xf numFmtId="0" fontId="24" fillId="14" borderId="7" xfId="3" applyFont="1" applyFill="1" applyBorder="1" applyAlignment="1">
      <alignment horizontal="left" vertical="center" wrapText="1"/>
    </xf>
    <xf numFmtId="0" fontId="24" fillId="14" borderId="56" xfId="3" applyFont="1" applyFill="1" applyBorder="1" applyAlignment="1">
      <alignment horizontal="left" vertical="center" wrapText="1"/>
    </xf>
    <xf numFmtId="0" fontId="24" fillId="14" borderId="8" xfId="3" applyFont="1" applyFill="1" applyBorder="1" applyAlignment="1">
      <alignment horizontal="left" vertical="center" wrapText="1"/>
    </xf>
    <xf numFmtId="0" fontId="8" fillId="0" borderId="14" xfId="3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19" xfId="3" applyFont="1" applyBorder="1" applyAlignment="1">
      <alignment horizontal="center" vertical="center"/>
    </xf>
  </cellXfs>
  <cellStyles count="7">
    <cellStyle name="Comma 2" xfId="6" xr:uid="{00000000-0005-0000-0000-000000000000}"/>
    <cellStyle name="Currency" xfId="1" builtinId="4"/>
    <cellStyle name="Currency 2" xfId="4" xr:uid="{00000000-0005-0000-0000-000002000000}"/>
    <cellStyle name="Normal" xfId="0" builtinId="0"/>
    <cellStyle name="Normal 2" xfId="3" xr:uid="{00000000-0005-0000-0000-000004000000}"/>
    <cellStyle name="Percent" xfId="2" builtinId="5"/>
    <cellStyle name="Percent 2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860692</xdr:colOff>
      <xdr:row>26</xdr:row>
      <xdr:rowOff>151786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0561905" cy="4914286"/>
        </a:xfrm>
        <a:prstGeom prst="rect">
          <a:avLst/>
        </a:prstGeom>
      </xdr:spPr>
    </xdr:pic>
    <xdr:clientData/>
  </xdr:twoCellAnchor>
  <xdr:twoCellAnchor>
    <xdr:from>
      <xdr:col>1</xdr:col>
      <xdr:colOff>1038225</xdr:colOff>
      <xdr:row>15</xdr:row>
      <xdr:rowOff>95250</xdr:rowOff>
    </xdr:from>
    <xdr:to>
      <xdr:col>1</xdr:col>
      <xdr:colOff>1273969</xdr:colOff>
      <xdr:row>16</xdr:row>
      <xdr:rowOff>59531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645444" y="2952750"/>
          <a:ext cx="235744" cy="15478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1395414</xdr:colOff>
      <xdr:row>15</xdr:row>
      <xdr:rowOff>59531</xdr:rowOff>
    </xdr:from>
    <xdr:to>
      <xdr:col>2</xdr:col>
      <xdr:colOff>428626</xdr:colOff>
      <xdr:row>16</xdr:row>
      <xdr:rowOff>119063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002633" y="2917031"/>
          <a:ext cx="1057274" cy="25003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Import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46968</xdr:colOff>
      <xdr:row>24</xdr:row>
      <xdr:rowOff>161357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257143" cy="454285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18</xdr:col>
      <xdr:colOff>199390</xdr:colOff>
      <xdr:row>46</xdr:row>
      <xdr:rowOff>66143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4762500"/>
          <a:ext cx="5076190" cy="42571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KAT4WNT-16X7%20FT%20FLAT%2019.06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RR-Dec-17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Gita.Rao\Desktop\Desktop\My%20Documents\Volumes\Implements\20190307%20MUSA%20Implement%20Planning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KAT4WNT-16X7 FT FLAT 19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R-Dec-17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_NA_Implement_Attachment"/>
      <sheetName val="Sheet1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B1:AB33"/>
  <sheetViews>
    <sheetView topLeftCell="A7" zoomScale="80" zoomScaleNormal="80" workbookViewId="0">
      <selection activeCell="D26" sqref="D26"/>
    </sheetView>
  </sheetViews>
  <sheetFormatPr defaultColWidth="9.140625" defaultRowHeight="15" x14ac:dyDescent="0.25"/>
  <cols>
    <col min="1" max="1" width="2" style="1" customWidth="1"/>
    <col min="2" max="2" width="9.140625" style="1"/>
    <col min="3" max="3" width="17.7109375" style="1" customWidth="1"/>
    <col min="4" max="4" width="13.28515625" style="2" bestFit="1" customWidth="1"/>
    <col min="5" max="5" width="12.28515625" style="1" customWidth="1"/>
    <col min="6" max="6" width="16.140625" style="1" customWidth="1"/>
    <col min="7" max="7" width="2.28515625" style="1" customWidth="1"/>
    <col min="8" max="8" width="2.7109375" style="1" customWidth="1"/>
    <col min="9" max="9" width="34" style="1" customWidth="1"/>
    <col min="10" max="10" width="7.28515625" style="1" customWidth="1"/>
    <col min="11" max="11" width="16.7109375" style="2" customWidth="1"/>
    <col min="12" max="12" width="8" style="1" customWidth="1"/>
    <col min="13" max="13" width="3.28515625" style="1" customWidth="1"/>
    <col min="14" max="14" width="3.7109375" style="1" customWidth="1"/>
    <col min="15" max="15" width="21.42578125" style="1" customWidth="1"/>
    <col min="16" max="16" width="10.140625" style="1" customWidth="1"/>
    <col min="17" max="17" width="20" style="1" customWidth="1"/>
    <col min="18" max="18" width="11" style="1" customWidth="1"/>
    <col min="19" max="19" width="6.85546875" style="1" customWidth="1"/>
    <col min="20" max="20" width="22.140625" style="1" customWidth="1"/>
    <col min="21" max="24" width="9.140625" style="1"/>
    <col min="25" max="28" width="11.7109375" style="1" customWidth="1"/>
    <col min="29" max="16384" width="9.140625" style="1"/>
  </cols>
  <sheetData>
    <row r="1" spans="2:28" x14ac:dyDescent="0.25">
      <c r="T1" s="361" t="s">
        <v>0</v>
      </c>
      <c r="U1" s="362"/>
      <c r="V1" s="362"/>
      <c r="W1" s="362"/>
      <c r="X1" s="362"/>
      <c r="Y1" s="362"/>
      <c r="Z1" s="362"/>
      <c r="AA1" s="362"/>
      <c r="AB1" s="363"/>
    </row>
    <row r="2" spans="2:28" ht="36" x14ac:dyDescent="0.25">
      <c r="I2" s="107" t="s">
        <v>1</v>
      </c>
      <c r="T2" s="101" t="s">
        <v>2</v>
      </c>
      <c r="U2" s="100" t="s">
        <v>3</v>
      </c>
      <c r="V2" s="100" t="s">
        <v>4</v>
      </c>
      <c r="W2" s="100" t="s">
        <v>5</v>
      </c>
      <c r="X2" s="100" t="s">
        <v>6</v>
      </c>
      <c r="Y2" s="100" t="s">
        <v>7</v>
      </c>
      <c r="Z2" s="100" t="s">
        <v>8</v>
      </c>
      <c r="AA2" s="100" t="s">
        <v>9</v>
      </c>
      <c r="AB2" s="100" t="s">
        <v>10</v>
      </c>
    </row>
    <row r="3" spans="2:28" s="102" customFormat="1" ht="34.5" customHeight="1" x14ac:dyDescent="0.25">
      <c r="D3" s="356" t="s">
        <v>11</v>
      </c>
      <c r="E3" s="357"/>
      <c r="F3" s="103">
        <v>77.150000000000006</v>
      </c>
      <c r="I3" s="108" t="s">
        <v>12</v>
      </c>
      <c r="O3" s="358" t="s">
        <v>13</v>
      </c>
      <c r="P3" s="358"/>
      <c r="Q3" s="359"/>
      <c r="R3" s="104">
        <v>76.599999999999994</v>
      </c>
      <c r="T3" s="90" t="s">
        <v>14</v>
      </c>
      <c r="U3" s="91" t="s">
        <v>15</v>
      </c>
      <c r="V3" s="91" t="s">
        <v>16</v>
      </c>
      <c r="W3" s="91" t="s">
        <v>17</v>
      </c>
      <c r="X3" s="92">
        <v>5280</v>
      </c>
      <c r="Y3" s="92">
        <v>38000</v>
      </c>
      <c r="Z3" s="92">
        <v>14500</v>
      </c>
      <c r="AA3" s="92">
        <v>12500</v>
      </c>
      <c r="AB3" s="92">
        <v>130000</v>
      </c>
    </row>
    <row r="6" spans="2:28" ht="18.75" x14ac:dyDescent="0.25">
      <c r="B6" s="5"/>
      <c r="C6" s="6"/>
      <c r="D6" s="7"/>
      <c r="E6" s="6"/>
      <c r="F6" s="6"/>
      <c r="G6" s="6"/>
      <c r="H6" s="6"/>
      <c r="I6" s="86" t="s">
        <v>18</v>
      </c>
      <c r="J6" s="87"/>
      <c r="K6" s="87"/>
      <c r="L6" s="88"/>
      <c r="N6" s="4"/>
      <c r="O6" s="2"/>
    </row>
    <row r="8" spans="2:28" x14ac:dyDescent="0.25">
      <c r="G8" s="3"/>
      <c r="I8" s="10" t="s">
        <v>19</v>
      </c>
      <c r="J8" s="10"/>
      <c r="K8" s="11">
        <v>10</v>
      </c>
      <c r="L8" s="12" t="s">
        <v>20</v>
      </c>
      <c r="M8" s="13"/>
      <c r="O8" s="1" t="s">
        <v>21</v>
      </c>
    </row>
    <row r="9" spans="2:28" ht="18.75" x14ac:dyDescent="0.25">
      <c r="B9" s="12" t="s">
        <v>22</v>
      </c>
      <c r="C9" s="89">
        <v>76.599999999999994</v>
      </c>
      <c r="E9" s="12" t="s">
        <v>22</v>
      </c>
      <c r="F9" s="14">
        <f>F3</f>
        <v>77.150000000000006</v>
      </c>
      <c r="G9" s="3"/>
      <c r="I9" s="15" t="s">
        <v>23</v>
      </c>
      <c r="J9" s="10"/>
      <c r="K9" s="16">
        <v>1500</v>
      </c>
      <c r="L9" s="12" t="s">
        <v>22</v>
      </c>
      <c r="M9" s="13"/>
      <c r="O9" s="17"/>
      <c r="P9" s="17"/>
      <c r="Q9" s="17"/>
      <c r="R9" s="18"/>
    </row>
    <row r="10" spans="2:28" x14ac:dyDescent="0.25">
      <c r="E10" s="12" t="s">
        <v>24</v>
      </c>
      <c r="F10" s="12">
        <v>1</v>
      </c>
      <c r="G10" s="3"/>
      <c r="I10" s="19" t="s">
        <v>25</v>
      </c>
      <c r="J10" s="10"/>
      <c r="K10" s="20">
        <f>K8*K9</f>
        <v>15000</v>
      </c>
      <c r="L10" s="12" t="s">
        <v>22</v>
      </c>
      <c r="M10" s="13"/>
      <c r="O10" s="21"/>
      <c r="P10" s="18"/>
      <c r="Q10" s="22"/>
      <c r="R10" s="23" t="s">
        <v>26</v>
      </c>
    </row>
    <row r="11" spans="2:28" x14ac:dyDescent="0.25">
      <c r="B11" s="1" t="s">
        <v>27</v>
      </c>
      <c r="D11" s="1"/>
      <c r="G11" s="3"/>
      <c r="I11" s="19" t="s">
        <v>28</v>
      </c>
      <c r="J11" s="10"/>
      <c r="K11" s="24">
        <f>K10*C9</f>
        <v>1149000</v>
      </c>
      <c r="L11" s="12" t="s">
        <v>29</v>
      </c>
      <c r="M11" s="13"/>
      <c r="O11" s="25" t="s">
        <v>30</v>
      </c>
      <c r="P11" s="26" t="s">
        <v>22</v>
      </c>
      <c r="Q11" s="27">
        <f>X3</f>
        <v>5280</v>
      </c>
      <c r="R11" s="18"/>
    </row>
    <row r="12" spans="2:28" x14ac:dyDescent="0.25">
      <c r="B12" s="1" t="s">
        <v>31</v>
      </c>
      <c r="E12" s="360"/>
      <c r="F12" s="360"/>
      <c r="G12" s="3"/>
      <c r="I12" s="15" t="s">
        <v>32</v>
      </c>
      <c r="J12" s="28"/>
      <c r="K12" s="11">
        <f>Q12</f>
        <v>404447.99999999994</v>
      </c>
      <c r="L12" s="12" t="s">
        <v>29</v>
      </c>
      <c r="O12" s="25" t="s">
        <v>33</v>
      </c>
      <c r="P12" s="26" t="s">
        <v>29</v>
      </c>
      <c r="Q12" s="105">
        <f>Q11*R12</f>
        <v>404447.99999999994</v>
      </c>
      <c r="R12" s="93">
        <f>R3</f>
        <v>76.599999999999994</v>
      </c>
    </row>
    <row r="13" spans="2:28" x14ac:dyDescent="0.25">
      <c r="B13" s="1" t="s">
        <v>34</v>
      </c>
      <c r="E13" s="360">
        <f>+K11</f>
        <v>1149000</v>
      </c>
      <c r="F13" s="360"/>
      <c r="G13" s="3"/>
      <c r="I13" s="10"/>
      <c r="J13" s="28"/>
      <c r="K13" s="29"/>
      <c r="L13" s="12"/>
      <c r="O13" s="25" t="s">
        <v>35</v>
      </c>
      <c r="P13" s="26" t="s">
        <v>29</v>
      </c>
      <c r="Q13" s="106">
        <f>E27</f>
        <v>149742.33528498752</v>
      </c>
      <c r="R13" s="18"/>
    </row>
    <row r="14" spans="2:28" x14ac:dyDescent="0.25">
      <c r="B14" s="1" t="s">
        <v>36</v>
      </c>
      <c r="D14" s="30"/>
      <c r="E14" s="360">
        <f>Q11*F9</f>
        <v>407352.00000000006</v>
      </c>
      <c r="F14" s="360"/>
      <c r="G14" s="3"/>
      <c r="I14" s="10" t="s">
        <v>37</v>
      </c>
      <c r="J14" s="31">
        <f>D20</f>
        <v>7.4999999999999997E-2</v>
      </c>
      <c r="K14" s="94">
        <f>E20</f>
        <v>117695.86874999999</v>
      </c>
      <c r="L14" s="12" t="s">
        <v>29</v>
      </c>
      <c r="O14" s="32"/>
      <c r="Q14" s="33"/>
      <c r="R14" s="18"/>
    </row>
    <row r="15" spans="2:28" x14ac:dyDescent="0.25">
      <c r="B15" s="1" t="s">
        <v>38</v>
      </c>
      <c r="D15" s="30"/>
      <c r="E15" s="364">
        <f>(E13)*1.125%</f>
        <v>12926.25</v>
      </c>
      <c r="F15" s="364"/>
      <c r="G15" s="3"/>
      <c r="I15" s="10" t="s">
        <v>39</v>
      </c>
      <c r="J15" s="31">
        <f>D21</f>
        <v>0.01</v>
      </c>
      <c r="K15" s="94">
        <f>E21</f>
        <v>16869.7411875</v>
      </c>
      <c r="L15" s="12" t="s">
        <v>29</v>
      </c>
      <c r="O15" s="34"/>
      <c r="P15" s="26"/>
      <c r="Q15" s="35"/>
      <c r="R15" s="36"/>
    </row>
    <row r="16" spans="2:28" x14ac:dyDescent="0.25">
      <c r="B16" s="1" t="s">
        <v>40</v>
      </c>
      <c r="E16" s="360">
        <f>E15+E14+E13</f>
        <v>1569278.25</v>
      </c>
      <c r="F16" s="360"/>
      <c r="G16" s="3"/>
      <c r="I16" s="10" t="s">
        <v>41</v>
      </c>
      <c r="J16" s="37">
        <v>0</v>
      </c>
      <c r="K16" s="94">
        <f>+E22+E23</f>
        <v>337.39482375</v>
      </c>
      <c r="L16" s="12" t="s">
        <v>29</v>
      </c>
      <c r="O16" s="34"/>
      <c r="P16" s="10"/>
      <c r="Q16" s="35"/>
      <c r="R16" s="18"/>
    </row>
    <row r="17" spans="2:18" ht="15.75" thickBot="1" x14ac:dyDescent="0.3">
      <c r="B17" s="1" t="s">
        <v>42</v>
      </c>
      <c r="D17" s="38"/>
      <c r="E17" s="360">
        <f>E16*D17</f>
        <v>0</v>
      </c>
      <c r="F17" s="360"/>
      <c r="G17" s="3"/>
      <c r="I17" s="10" t="s">
        <v>43</v>
      </c>
      <c r="J17" s="37">
        <v>0.03</v>
      </c>
      <c r="K17" s="265">
        <f>E24+E25</f>
        <v>14839.330523737503</v>
      </c>
      <c r="L17" s="12" t="s">
        <v>29</v>
      </c>
      <c r="O17" s="34"/>
      <c r="P17" s="10"/>
      <c r="Q17" s="35"/>
      <c r="R17" s="18"/>
    </row>
    <row r="18" spans="2:18" ht="15.75" thickBot="1" x14ac:dyDescent="0.3">
      <c r="B18" s="39" t="s">
        <v>44</v>
      </c>
      <c r="C18" s="9"/>
      <c r="D18" s="40"/>
      <c r="E18" s="354">
        <f>E16+E17</f>
        <v>1569278.25</v>
      </c>
      <c r="F18" s="355"/>
      <c r="G18" s="8"/>
      <c r="H18" s="9"/>
      <c r="I18" s="41" t="s">
        <v>45</v>
      </c>
      <c r="J18" s="42">
        <v>0.12</v>
      </c>
      <c r="K18" s="95">
        <f>E26</f>
        <v>206282.4702341985</v>
      </c>
      <c r="L18" s="43" t="s">
        <v>29</v>
      </c>
      <c r="M18" s="9"/>
      <c r="N18" s="9"/>
      <c r="O18" s="44" t="s">
        <v>10</v>
      </c>
      <c r="P18" s="45" t="s">
        <v>29</v>
      </c>
      <c r="Q18" s="46">
        <f>AB3</f>
        <v>130000</v>
      </c>
      <c r="R18" s="47"/>
    </row>
    <row r="19" spans="2:18" x14ac:dyDescent="0.25">
      <c r="B19" s="48"/>
      <c r="E19" s="49"/>
      <c r="F19" s="49"/>
      <c r="G19" s="3"/>
      <c r="I19" s="10"/>
      <c r="J19" s="50"/>
      <c r="K19" s="94"/>
      <c r="L19" s="12"/>
      <c r="O19" s="51" t="s">
        <v>7</v>
      </c>
      <c r="P19" s="45" t="s">
        <v>29</v>
      </c>
      <c r="Q19" s="46">
        <f>Y3</f>
        <v>38000</v>
      </c>
      <c r="R19" s="18"/>
    </row>
    <row r="20" spans="2:18" x14ac:dyDescent="0.25">
      <c r="B20" s="1" t="s">
        <v>37</v>
      </c>
      <c r="D20" s="52">
        <v>7.4999999999999997E-2</v>
      </c>
      <c r="E20" s="53">
        <f>E18*D20</f>
        <v>117695.86874999999</v>
      </c>
      <c r="F20" s="53">
        <f t="shared" ref="F20:F26" si="0">+E20</f>
        <v>117695.86874999999</v>
      </c>
      <c r="G20" s="3"/>
      <c r="I20" s="44" t="s">
        <v>10</v>
      </c>
      <c r="J20" s="54" t="s">
        <v>29</v>
      </c>
      <c r="K20" s="96">
        <f>Q18</f>
        <v>130000</v>
      </c>
      <c r="L20" s="12" t="s">
        <v>29</v>
      </c>
      <c r="M20" s="36"/>
      <c r="O20" s="51" t="s">
        <v>46</v>
      </c>
      <c r="P20" s="45" t="s">
        <v>29</v>
      </c>
      <c r="Q20" s="46">
        <f>AA3</f>
        <v>12500</v>
      </c>
    </row>
    <row r="21" spans="2:18" x14ac:dyDescent="0.25">
      <c r="B21" s="1" t="s">
        <v>39</v>
      </c>
      <c r="D21" s="38">
        <v>0.01</v>
      </c>
      <c r="E21" s="53">
        <f>(E18+E20)*D21</f>
        <v>16869.7411875</v>
      </c>
      <c r="F21" s="53">
        <f t="shared" si="0"/>
        <v>16869.7411875</v>
      </c>
      <c r="G21" s="3"/>
      <c r="H21" s="33"/>
      <c r="I21" s="51" t="s">
        <v>7</v>
      </c>
      <c r="J21" s="54" t="s">
        <v>29</v>
      </c>
      <c r="K21" s="96">
        <f>Q19</f>
        <v>38000</v>
      </c>
      <c r="L21" s="55" t="s">
        <v>29</v>
      </c>
      <c r="M21" s="56"/>
      <c r="O21" s="57" t="s">
        <v>47</v>
      </c>
      <c r="P21" s="45" t="s">
        <v>29</v>
      </c>
      <c r="Q21" s="46">
        <f>Z3</f>
        <v>14500</v>
      </c>
    </row>
    <row r="22" spans="2:18" x14ac:dyDescent="0.25">
      <c r="B22" s="1" t="s">
        <v>48</v>
      </c>
      <c r="D22" s="38">
        <v>0.01</v>
      </c>
      <c r="E22" s="53">
        <f>E21*D22</f>
        <v>168.697411875</v>
      </c>
      <c r="F22" s="53">
        <f t="shared" si="0"/>
        <v>168.697411875</v>
      </c>
      <c r="G22" s="3"/>
      <c r="H22" s="33"/>
      <c r="I22" s="51" t="s">
        <v>46</v>
      </c>
      <c r="J22" s="54" t="s">
        <v>29</v>
      </c>
      <c r="K22" s="96">
        <f>Q20</f>
        <v>12500</v>
      </c>
      <c r="L22" s="55" t="s">
        <v>29</v>
      </c>
      <c r="O22" s="58"/>
      <c r="P22" s="26"/>
      <c r="Q22" s="59"/>
    </row>
    <row r="23" spans="2:18" x14ac:dyDescent="0.25">
      <c r="B23" s="1" t="s">
        <v>49</v>
      </c>
      <c r="D23" s="38">
        <v>0.01</v>
      </c>
      <c r="E23" s="53">
        <f>E21*D23</f>
        <v>168.697411875</v>
      </c>
      <c r="F23" s="53">
        <f t="shared" si="0"/>
        <v>168.697411875</v>
      </c>
      <c r="G23" s="3"/>
      <c r="H23" s="33"/>
      <c r="I23" s="57" t="s">
        <v>47</v>
      </c>
      <c r="J23" s="54" t="s">
        <v>29</v>
      </c>
      <c r="K23" s="96">
        <f>Q21</f>
        <v>14500</v>
      </c>
      <c r="L23" s="55" t="s">
        <v>29</v>
      </c>
      <c r="M23" s="56"/>
      <c r="O23" s="60"/>
      <c r="P23" s="26"/>
      <c r="Q23" s="59"/>
    </row>
    <row r="24" spans="2:18" x14ac:dyDescent="0.25">
      <c r="B24" s="1" t="s">
        <v>50</v>
      </c>
      <c r="D24" s="38">
        <v>0.1</v>
      </c>
      <c r="E24" s="53">
        <f>(E20+E21+E22+E23)*D24</f>
        <v>13490.300476125003</v>
      </c>
      <c r="F24" s="53">
        <f t="shared" si="0"/>
        <v>13490.300476125003</v>
      </c>
      <c r="G24" s="3"/>
      <c r="I24" s="61" t="s">
        <v>51</v>
      </c>
      <c r="J24" s="54" t="s">
        <v>29</v>
      </c>
      <c r="K24" s="97">
        <f>Q25</f>
        <v>2154.375</v>
      </c>
      <c r="L24" s="55" t="s">
        <v>29</v>
      </c>
      <c r="O24" s="25"/>
      <c r="P24" s="26"/>
      <c r="Q24" s="59"/>
    </row>
    <row r="25" spans="2:18" x14ac:dyDescent="0.25">
      <c r="B25" s="1" t="s">
        <v>52</v>
      </c>
      <c r="D25" s="38">
        <v>0.01</v>
      </c>
      <c r="E25" s="53">
        <f>(E20+E21+E22+E23)*D25</f>
        <v>1349.0300476125003</v>
      </c>
      <c r="F25" s="53">
        <f t="shared" si="0"/>
        <v>1349.0300476125003</v>
      </c>
      <c r="G25" s="3"/>
      <c r="I25" s="61" t="s">
        <v>53</v>
      </c>
      <c r="J25" s="54" t="s">
        <v>29</v>
      </c>
      <c r="K25" s="97">
        <f>Q26</f>
        <v>406.74599999999998</v>
      </c>
      <c r="L25" s="55" t="s">
        <v>29</v>
      </c>
      <c r="O25" s="61" t="s">
        <v>51</v>
      </c>
      <c r="P25" s="26" t="s">
        <v>29</v>
      </c>
      <c r="Q25" s="27">
        <f>K11*0.75%*3/12</f>
        <v>2154.375</v>
      </c>
    </row>
    <row r="26" spans="2:18" ht="15.75" thickBot="1" x14ac:dyDescent="0.3">
      <c r="B26" s="1" t="s">
        <v>45</v>
      </c>
      <c r="D26" s="38">
        <v>0.12</v>
      </c>
      <c r="E26" s="53">
        <f>(E20+E21+E22+E23+E24+E25+E18)*D26</f>
        <v>206282.4702341985</v>
      </c>
      <c r="F26" s="53">
        <f t="shared" si="0"/>
        <v>206282.4702341985</v>
      </c>
      <c r="G26" s="3"/>
      <c r="I26" s="10"/>
      <c r="J26" s="10"/>
      <c r="K26" s="97"/>
      <c r="L26" s="12" t="s">
        <v>29</v>
      </c>
      <c r="O26" s="61" t="s">
        <v>53</v>
      </c>
      <c r="P26" s="26" t="s">
        <v>29</v>
      </c>
      <c r="Q26" s="62">
        <f>+K11*0.0354%</f>
        <v>406.74599999999998</v>
      </c>
      <c r="R26" s="18"/>
    </row>
    <row r="27" spans="2:18" ht="15.75" thickBot="1" x14ac:dyDescent="0.3">
      <c r="B27" s="48" t="s">
        <v>54</v>
      </c>
      <c r="E27" s="64">
        <f>E26+E25+E24+E23+E22+E21+E20-E26</f>
        <v>149742.33528498752</v>
      </c>
      <c r="F27" s="65"/>
      <c r="G27" s="63"/>
      <c r="I27" s="10"/>
      <c r="J27" s="10"/>
      <c r="K27" s="97"/>
      <c r="L27" s="12"/>
      <c r="O27" s="25"/>
      <c r="P27" s="26"/>
      <c r="Q27" s="62"/>
    </row>
    <row r="28" spans="2:18" x14ac:dyDescent="0.25">
      <c r="C28" s="2"/>
      <c r="D28" s="66"/>
      <c r="E28" s="48"/>
      <c r="F28" s="67"/>
      <c r="G28" s="3"/>
      <c r="I28" s="68" t="s">
        <v>55</v>
      </c>
      <c r="J28" s="69"/>
      <c r="K28" s="98">
        <f>SUM(K11:K27)-K18</f>
        <v>1900751.4562849873</v>
      </c>
      <c r="L28" s="12" t="s">
        <v>29</v>
      </c>
      <c r="M28" s="70"/>
      <c r="O28" s="71" t="s">
        <v>56</v>
      </c>
      <c r="P28" s="26"/>
      <c r="Q28" s="72">
        <f>SUM(Q12:Q27)-Q15-Q24</f>
        <v>751751.45628498751</v>
      </c>
      <c r="R28" s="1">
        <f>+Q28/3</f>
        <v>250583.81876166249</v>
      </c>
    </row>
    <row r="29" spans="2:18" x14ac:dyDescent="0.25">
      <c r="E29" s="73"/>
      <c r="F29" s="74"/>
      <c r="G29" s="3"/>
      <c r="I29" s="10"/>
      <c r="J29" s="10"/>
      <c r="K29" s="94"/>
      <c r="L29" s="12"/>
    </row>
    <row r="30" spans="2:18" ht="15.75" x14ac:dyDescent="0.25">
      <c r="C30" s="48"/>
      <c r="D30" s="75"/>
      <c r="F30" s="67">
        <v>0</v>
      </c>
      <c r="G30" s="3"/>
      <c r="I30" s="68"/>
      <c r="J30" s="10"/>
      <c r="K30" s="94">
        <f>+K28-F30</f>
        <v>1900751.4562849873</v>
      </c>
      <c r="L30" s="12" t="s">
        <v>29</v>
      </c>
      <c r="O30" s="76" t="s">
        <v>57</v>
      </c>
      <c r="P30" s="77"/>
      <c r="Q30" s="78">
        <f>Q28/K11</f>
        <v>0.65426584533071153</v>
      </c>
    </row>
    <row r="31" spans="2:18" ht="15.75" x14ac:dyDescent="0.25">
      <c r="G31" s="3"/>
      <c r="I31" s="68" t="s">
        <v>58</v>
      </c>
      <c r="J31" s="79"/>
      <c r="K31" s="98">
        <f>K30/F9</f>
        <v>24637.089517627832</v>
      </c>
      <c r="L31" s="12" t="s">
        <v>22</v>
      </c>
      <c r="O31" s="80" t="s">
        <v>59</v>
      </c>
      <c r="P31" s="80">
        <v>3</v>
      </c>
      <c r="Q31" s="72">
        <f>+Q28/P31</f>
        <v>250583.81876166249</v>
      </c>
    </row>
    <row r="32" spans="2:18" x14ac:dyDescent="0.25">
      <c r="D32" s="81"/>
      <c r="E32" s="82"/>
      <c r="G32" s="3"/>
      <c r="I32" s="10" t="s">
        <v>60</v>
      </c>
      <c r="J32" s="10"/>
      <c r="K32" s="99">
        <f>K31/K8</f>
        <v>2463.7089517627833</v>
      </c>
      <c r="L32" s="12"/>
      <c r="M32" s="83"/>
    </row>
    <row r="33" spans="4:12" x14ac:dyDescent="0.25">
      <c r="D33" s="81"/>
      <c r="F33" s="84"/>
      <c r="G33" s="3"/>
      <c r="I33" s="68" t="s">
        <v>61</v>
      </c>
      <c r="J33" s="68"/>
      <c r="K33" s="98">
        <f>K32*F9</f>
        <v>190075.14562849875</v>
      </c>
      <c r="L33" s="85"/>
    </row>
  </sheetData>
  <mergeCells count="10">
    <mergeCell ref="T1:AB1"/>
    <mergeCell ref="E14:F14"/>
    <mergeCell ref="E15:F15"/>
    <mergeCell ref="E16:F16"/>
    <mergeCell ref="E17:F17"/>
    <mergeCell ref="E18:F18"/>
    <mergeCell ref="D3:E3"/>
    <mergeCell ref="O3:Q3"/>
    <mergeCell ref="E12:F12"/>
    <mergeCell ref="E13:F13"/>
  </mergeCells>
  <pageMargins left="0.70866141732283472" right="0.70866141732283472" top="0.74803149606299213" bottom="0.74803149606299213" header="0.31496062992125984" footer="0.31496062992125984"/>
  <pageSetup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B1:AK1048575"/>
  <sheetViews>
    <sheetView tabSelected="1" topLeftCell="A7" zoomScale="80" zoomScaleNormal="80" workbookViewId="0">
      <selection activeCell="G21" sqref="G21"/>
    </sheetView>
  </sheetViews>
  <sheetFormatPr defaultColWidth="9.140625" defaultRowHeight="15" x14ac:dyDescent="0.25"/>
  <cols>
    <col min="1" max="1" width="2" style="1" customWidth="1"/>
    <col min="2" max="3" width="3.28515625" style="1" customWidth="1"/>
    <col min="4" max="4" width="3.28515625" style="2" customWidth="1"/>
    <col min="5" max="6" width="3.28515625" style="1" customWidth="1"/>
    <col min="7" max="7" width="41.140625" style="1" customWidth="1"/>
    <col min="8" max="8" width="24.140625" style="1" customWidth="1"/>
    <col min="9" max="9" width="13.28515625" style="1" customWidth="1"/>
    <col min="10" max="10" width="19.5703125" style="1" customWidth="1"/>
    <col min="11" max="11" width="25.42578125" style="2" customWidth="1"/>
    <col min="12" max="12" width="29" style="1" customWidth="1"/>
    <col min="13" max="13" width="57.85546875" style="1" customWidth="1"/>
    <col min="14" max="14" width="5.28515625" style="1" customWidth="1"/>
    <col min="15" max="15" width="21.42578125" style="1" customWidth="1"/>
    <col min="16" max="17" width="17.140625" style="1" customWidth="1"/>
    <col min="18" max="18" width="13" style="1" customWidth="1"/>
    <col min="19" max="19" width="6.85546875" style="1" customWidth="1"/>
    <col min="20" max="20" width="22.140625" style="1" customWidth="1"/>
    <col min="21" max="21" width="16.85546875" style="1" customWidth="1"/>
    <col min="22" max="22" width="16.42578125" style="1" customWidth="1"/>
    <col min="23" max="23" width="18.7109375" style="1" customWidth="1"/>
    <col min="24" max="24" width="15.85546875" style="1" customWidth="1"/>
    <col min="25" max="25" width="25.5703125" style="1" customWidth="1"/>
    <col min="26" max="26" width="13" style="1" customWidth="1"/>
    <col min="27" max="27" width="12.42578125" style="1" customWidth="1"/>
    <col min="28" max="28" width="15.140625" style="1" customWidth="1"/>
    <col min="29" max="16384" width="9.140625" style="1"/>
  </cols>
  <sheetData>
    <row r="1" spans="2:23" x14ac:dyDescent="0.25">
      <c r="F1" s="102"/>
      <c r="G1" s="102"/>
      <c r="H1" s="102"/>
      <c r="I1" s="102"/>
      <c r="J1" s="102"/>
      <c r="K1" s="102"/>
      <c r="L1" s="102"/>
      <c r="M1" s="102"/>
    </row>
    <row r="2" spans="2:23" ht="56.25" customHeight="1" thickBot="1" x14ac:dyDescent="0.3">
      <c r="D2" s="1"/>
      <c r="F2" s="102"/>
      <c r="G2" s="102"/>
      <c r="H2" s="102"/>
      <c r="I2" s="102"/>
      <c r="J2" s="102"/>
      <c r="K2" s="102"/>
      <c r="L2" s="102"/>
      <c r="M2" s="102"/>
      <c r="O2" s="343" t="s">
        <v>62</v>
      </c>
    </row>
    <row r="3" spans="2:23" s="102" customFormat="1" ht="48" thickBot="1" x14ac:dyDescent="0.3">
      <c r="B3" s="1"/>
      <c r="C3" s="1"/>
      <c r="D3" s="1"/>
      <c r="E3" s="1"/>
      <c r="F3" s="1"/>
      <c r="G3" s="365" t="s">
        <v>63</v>
      </c>
      <c r="H3" s="366"/>
      <c r="I3" s="366"/>
      <c r="J3" s="366"/>
      <c r="K3" s="366"/>
      <c r="L3" s="366"/>
      <c r="M3" s="367"/>
      <c r="O3" s="126" t="s">
        <v>13</v>
      </c>
      <c r="P3" s="127">
        <v>76.599999999999994</v>
      </c>
      <c r="Q3" s="102" t="s">
        <v>64</v>
      </c>
      <c r="R3" s="1"/>
      <c r="S3" s="1"/>
    </row>
    <row r="4" spans="2:23" ht="32.25" thickBot="1" x14ac:dyDescent="0.3">
      <c r="D4" s="1"/>
      <c r="G4" s="155"/>
      <c r="K4" s="1"/>
      <c r="M4" s="263"/>
      <c r="O4" s="128" t="s">
        <v>11</v>
      </c>
      <c r="P4" s="129">
        <v>77.150000000000006</v>
      </c>
      <c r="Q4" s="102" t="s">
        <v>65</v>
      </c>
    </row>
    <row r="5" spans="2:23" x14ac:dyDescent="0.25">
      <c r="D5" s="1"/>
      <c r="G5" s="155"/>
      <c r="K5" s="1"/>
      <c r="M5" s="263"/>
    </row>
    <row r="6" spans="2:23" ht="15.75" thickBot="1" x14ac:dyDescent="0.3">
      <c r="D6" s="1"/>
      <c r="G6" s="324"/>
      <c r="H6" s="13"/>
      <c r="I6" s="13"/>
      <c r="J6" s="13"/>
      <c r="K6" s="262"/>
      <c r="M6" s="263"/>
      <c r="O6" s="17"/>
      <c r="P6" s="17"/>
      <c r="Q6" s="17"/>
      <c r="R6" s="18"/>
    </row>
    <row r="7" spans="2:23" ht="18.75" x14ac:dyDescent="0.25">
      <c r="D7" s="1"/>
      <c r="G7" s="340" t="s">
        <v>66</v>
      </c>
      <c r="H7" s="368" t="s">
        <v>14</v>
      </c>
      <c r="I7" s="368"/>
      <c r="J7" s="368"/>
      <c r="K7" s="337" t="s">
        <v>67</v>
      </c>
      <c r="L7" s="267" t="s">
        <v>68</v>
      </c>
      <c r="M7" s="334" t="s">
        <v>69</v>
      </c>
    </row>
    <row r="8" spans="2:23" ht="18.75" x14ac:dyDescent="0.25">
      <c r="D8" s="1"/>
      <c r="G8" s="341" t="s">
        <v>3</v>
      </c>
      <c r="H8" s="369" t="s">
        <v>15</v>
      </c>
      <c r="I8" s="369"/>
      <c r="J8" s="369"/>
      <c r="K8" s="338" t="s">
        <v>70</v>
      </c>
      <c r="L8" s="300"/>
      <c r="M8" s="335" t="s">
        <v>69</v>
      </c>
    </row>
    <row r="9" spans="2:23" ht="30.75" thickBot="1" x14ac:dyDescent="0.3">
      <c r="D9" s="1"/>
      <c r="G9" s="341" t="s">
        <v>4</v>
      </c>
      <c r="H9" s="369" t="s">
        <v>16</v>
      </c>
      <c r="I9" s="369"/>
      <c r="J9" s="369"/>
      <c r="K9" s="339" t="s">
        <v>71</v>
      </c>
      <c r="L9" s="301" t="s">
        <v>72</v>
      </c>
      <c r="M9" s="348" t="s">
        <v>73</v>
      </c>
    </row>
    <row r="10" spans="2:23" ht="19.5" thickBot="1" x14ac:dyDescent="0.3">
      <c r="D10" s="1"/>
      <c r="G10" s="342" t="s">
        <v>5</v>
      </c>
      <c r="H10" s="370" t="s">
        <v>17</v>
      </c>
      <c r="I10" s="370"/>
      <c r="J10" s="370"/>
      <c r="K10" s="339"/>
      <c r="L10" s="301"/>
      <c r="M10" s="336"/>
    </row>
    <row r="11" spans="2:23" ht="15.75" thickBot="1" x14ac:dyDescent="0.3">
      <c r="D11" s="1"/>
      <c r="G11" s="155"/>
      <c r="K11" s="1"/>
      <c r="M11" s="314"/>
    </row>
    <row r="12" spans="2:23" x14ac:dyDescent="0.25">
      <c r="D12" s="1"/>
      <c r="G12" s="109" t="s">
        <v>74</v>
      </c>
      <c r="H12" s="270"/>
      <c r="I12" s="270"/>
      <c r="J12" s="110"/>
      <c r="K12" s="293">
        <v>10</v>
      </c>
      <c r="L12" s="302" t="s">
        <v>20</v>
      </c>
      <c r="M12" s="315" t="s">
        <v>75</v>
      </c>
    </row>
    <row r="13" spans="2:23" ht="30" x14ac:dyDescent="0.25">
      <c r="D13" s="1"/>
      <c r="G13" s="112" t="s">
        <v>76</v>
      </c>
      <c r="H13" s="271"/>
      <c r="I13" s="271"/>
      <c r="J13" s="10"/>
      <c r="K13" s="294">
        <v>1500</v>
      </c>
      <c r="L13" s="303" t="s">
        <v>22</v>
      </c>
      <c r="M13" s="349" t="s">
        <v>77</v>
      </c>
      <c r="V13" s="158"/>
      <c r="W13" s="2"/>
    </row>
    <row r="14" spans="2:23" x14ac:dyDescent="0.25">
      <c r="D14" s="1"/>
      <c r="G14" s="114" t="s">
        <v>78</v>
      </c>
      <c r="H14" s="272"/>
      <c r="I14" s="272"/>
      <c r="J14" s="10"/>
      <c r="K14" s="130">
        <f>K12*K13</f>
        <v>15000</v>
      </c>
      <c r="L14" s="303" t="s">
        <v>22</v>
      </c>
      <c r="M14" s="317" t="s">
        <v>79</v>
      </c>
      <c r="T14" s="159"/>
      <c r="V14" s="160"/>
      <c r="W14" s="2"/>
    </row>
    <row r="15" spans="2:23" ht="49.5" customHeight="1" thickBot="1" x14ac:dyDescent="0.3">
      <c r="D15" s="1"/>
      <c r="G15" s="136" t="s">
        <v>78</v>
      </c>
      <c r="H15" s="345" t="s">
        <v>80</v>
      </c>
      <c r="I15" s="346" t="s">
        <v>81</v>
      </c>
      <c r="J15" s="353">
        <v>76.599999999999994</v>
      </c>
      <c r="K15" s="137">
        <f>K14*J15</f>
        <v>1149000</v>
      </c>
      <c r="L15" s="304" t="s">
        <v>29</v>
      </c>
      <c r="M15" s="318" t="s">
        <v>82</v>
      </c>
      <c r="T15" s="161"/>
      <c r="V15" s="158"/>
      <c r="W15" s="2"/>
    </row>
    <row r="16" spans="2:23" ht="15.75" thickBot="1" x14ac:dyDescent="0.3">
      <c r="D16" s="1"/>
      <c r="G16" s="155"/>
      <c r="K16" s="1"/>
      <c r="M16" s="314"/>
      <c r="T16" s="161"/>
      <c r="V16" s="162"/>
      <c r="W16" s="2"/>
    </row>
    <row r="17" spans="3:23" x14ac:dyDescent="0.25">
      <c r="D17" s="1"/>
      <c r="G17" s="133" t="s">
        <v>30</v>
      </c>
      <c r="H17" s="273"/>
      <c r="I17" s="273"/>
      <c r="J17" s="134"/>
      <c r="K17" s="135">
        <v>5280</v>
      </c>
      <c r="L17" s="302" t="s">
        <v>22</v>
      </c>
      <c r="M17" s="315" t="s">
        <v>75</v>
      </c>
      <c r="N17" s="331"/>
      <c r="V17" s="2"/>
    </row>
    <row r="18" spans="3:23" x14ac:dyDescent="0.25">
      <c r="D18" s="1"/>
      <c r="G18" s="112" t="s">
        <v>83</v>
      </c>
      <c r="H18" s="274" t="s">
        <v>84</v>
      </c>
      <c r="I18" s="274" t="s">
        <v>85</v>
      </c>
      <c r="J18" s="351">
        <v>77.150000000000006</v>
      </c>
      <c r="K18" s="131">
        <f>J18*K17</f>
        <v>407352.00000000006</v>
      </c>
      <c r="L18" s="303" t="s">
        <v>29</v>
      </c>
      <c r="M18" s="317" t="s">
        <v>86</v>
      </c>
      <c r="N18" s="332"/>
      <c r="T18" s="163"/>
      <c r="U18" s="164"/>
      <c r="V18" s="165"/>
      <c r="W18" s="2"/>
    </row>
    <row r="19" spans="3:23" x14ac:dyDescent="0.25">
      <c r="D19" s="1"/>
      <c r="G19" s="118" t="s">
        <v>87</v>
      </c>
      <c r="H19" s="274"/>
      <c r="I19" s="274"/>
      <c r="J19" s="116">
        <v>1.125E-2</v>
      </c>
      <c r="K19" s="131">
        <f>K15*J19</f>
        <v>12926.25</v>
      </c>
      <c r="L19" s="303" t="s">
        <v>29</v>
      </c>
      <c r="M19" s="319" t="s">
        <v>88</v>
      </c>
      <c r="N19" s="331"/>
      <c r="T19" s="159"/>
      <c r="U19" s="164"/>
      <c r="V19" s="166"/>
      <c r="W19" s="2"/>
    </row>
    <row r="20" spans="3:23" x14ac:dyDescent="0.25">
      <c r="D20" s="1"/>
      <c r="G20" s="118" t="s">
        <v>89</v>
      </c>
      <c r="H20" s="274"/>
      <c r="I20" s="274"/>
      <c r="J20" s="10"/>
      <c r="K20" s="130">
        <f>K15+K18+K19</f>
        <v>1569278.25</v>
      </c>
      <c r="L20" s="303" t="s">
        <v>29</v>
      </c>
      <c r="M20" s="319" t="s">
        <v>79</v>
      </c>
      <c r="N20" s="331"/>
      <c r="U20" s="167"/>
      <c r="V20" s="166"/>
      <c r="W20" s="2"/>
    </row>
    <row r="21" spans="3:23" x14ac:dyDescent="0.25">
      <c r="D21" s="1"/>
      <c r="G21" s="118" t="s">
        <v>90</v>
      </c>
      <c r="H21" s="274"/>
      <c r="I21" s="274"/>
      <c r="J21" s="117">
        <v>0</v>
      </c>
      <c r="K21" s="131">
        <f>J21*K20</f>
        <v>0</v>
      </c>
      <c r="L21" s="303" t="s">
        <v>29</v>
      </c>
      <c r="M21" s="320" t="s">
        <v>79</v>
      </c>
      <c r="N21" s="331"/>
      <c r="V21" s="158"/>
      <c r="W21" s="2"/>
    </row>
    <row r="22" spans="3:23" ht="15.75" thickBot="1" x14ac:dyDescent="0.3">
      <c r="D22" s="1"/>
      <c r="G22" s="145" t="s">
        <v>44</v>
      </c>
      <c r="H22" s="275"/>
      <c r="I22" s="275"/>
      <c r="J22" s="146"/>
      <c r="K22" s="147">
        <f>K20+K21</f>
        <v>1569278.25</v>
      </c>
      <c r="L22" s="305" t="s">
        <v>29</v>
      </c>
      <c r="M22" s="321" t="s">
        <v>79</v>
      </c>
      <c r="N22" s="331"/>
      <c r="U22" s="168"/>
      <c r="V22" s="166"/>
      <c r="W22" s="2"/>
    </row>
    <row r="23" spans="3:23" ht="52.5" customHeight="1" thickBot="1" x14ac:dyDescent="0.3">
      <c r="D23" s="1"/>
      <c r="G23" s="138" t="s">
        <v>32</v>
      </c>
      <c r="H23" s="345" t="s">
        <v>80</v>
      </c>
      <c r="I23" s="346" t="s">
        <v>81</v>
      </c>
      <c r="J23" s="352">
        <v>76.599999999999994</v>
      </c>
      <c r="K23" s="139">
        <f>K17*J23</f>
        <v>404447.99999999994</v>
      </c>
      <c r="L23" s="306" t="s">
        <v>29</v>
      </c>
      <c r="M23" s="318" t="s">
        <v>82</v>
      </c>
      <c r="T23" s="39"/>
      <c r="U23" s="9"/>
      <c r="V23" s="166"/>
      <c r="W23" s="2"/>
    </row>
    <row r="24" spans="3:23" ht="15.75" thickBot="1" x14ac:dyDescent="0.3">
      <c r="D24" s="1"/>
      <c r="G24" s="155"/>
      <c r="K24" s="1"/>
      <c r="M24" s="314"/>
      <c r="T24" s="159"/>
      <c r="U24" s="164"/>
      <c r="V24" s="158"/>
      <c r="W24" s="2"/>
    </row>
    <row r="25" spans="3:23" x14ac:dyDescent="0.25">
      <c r="D25" s="1"/>
      <c r="G25" s="109" t="s">
        <v>37</v>
      </c>
      <c r="H25" s="270"/>
      <c r="I25" s="270"/>
      <c r="J25" s="121">
        <v>7.4999999999999997E-2</v>
      </c>
      <c r="K25" s="264">
        <f>J25*K22</f>
        <v>117695.86874999999</v>
      </c>
      <c r="L25" s="111" t="s">
        <v>29</v>
      </c>
      <c r="M25" s="315" t="s">
        <v>79</v>
      </c>
    </row>
    <row r="26" spans="3:23" x14ac:dyDescent="0.25">
      <c r="D26" s="1"/>
      <c r="G26" s="208" t="s">
        <v>39</v>
      </c>
      <c r="H26" s="276"/>
      <c r="I26" s="276"/>
      <c r="J26" s="31">
        <v>0.01</v>
      </c>
      <c r="K26" s="29">
        <f>(K22+K25)*J26</f>
        <v>16869.7411875</v>
      </c>
      <c r="L26" s="132" t="s">
        <v>29</v>
      </c>
      <c r="M26" s="316" t="s">
        <v>79</v>
      </c>
      <c r="U26" s="169"/>
      <c r="V26" s="170"/>
      <c r="W26" s="2"/>
    </row>
    <row r="27" spans="3:23" x14ac:dyDescent="0.25">
      <c r="D27" s="1"/>
      <c r="G27" s="208" t="s">
        <v>48</v>
      </c>
      <c r="H27" s="10"/>
      <c r="I27" s="10"/>
      <c r="J27" s="31">
        <v>0.01</v>
      </c>
      <c r="K27" s="29">
        <f>J27*K26</f>
        <v>168.697411875</v>
      </c>
      <c r="L27" s="132" t="s">
        <v>29</v>
      </c>
      <c r="M27" s="316" t="s">
        <v>79</v>
      </c>
      <c r="U27" s="169"/>
      <c r="V27" s="170"/>
      <c r="W27" s="2"/>
    </row>
    <row r="28" spans="3:23" x14ac:dyDescent="0.25">
      <c r="D28" s="1"/>
      <c r="G28" s="208" t="s">
        <v>49</v>
      </c>
      <c r="H28" s="10"/>
      <c r="I28" s="10"/>
      <c r="J28" s="31">
        <v>0.01</v>
      </c>
      <c r="K28" s="350">
        <f>J28*K26</f>
        <v>168.697411875</v>
      </c>
      <c r="L28" s="132" t="s">
        <v>91</v>
      </c>
      <c r="M28" s="316" t="s">
        <v>79</v>
      </c>
      <c r="U28" s="171"/>
      <c r="V28" s="170"/>
      <c r="W28" s="2"/>
    </row>
    <row r="29" spans="3:23" ht="15.75" thickBot="1" x14ac:dyDescent="0.3">
      <c r="E29" s="73"/>
      <c r="F29" s="74"/>
      <c r="G29" s="325" t="s">
        <v>41</v>
      </c>
      <c r="H29" s="326"/>
      <c r="I29" s="326"/>
      <c r="J29" s="327">
        <v>0</v>
      </c>
      <c r="K29" s="328">
        <f>K27+K28</f>
        <v>337.39482375</v>
      </c>
      <c r="L29" s="330" t="s">
        <v>29</v>
      </c>
      <c r="M29" s="316" t="s">
        <v>79</v>
      </c>
      <c r="U29" s="171"/>
      <c r="V29" s="170"/>
      <c r="W29" s="2"/>
    </row>
    <row r="30" spans="3:23" x14ac:dyDescent="0.25">
      <c r="C30" s="48"/>
      <c r="D30" s="75"/>
      <c r="F30" s="67">
        <v>0</v>
      </c>
      <c r="G30" s="289" t="s">
        <v>50</v>
      </c>
      <c r="H30" s="290"/>
      <c r="I30" s="290"/>
      <c r="J30" s="291">
        <v>0.1</v>
      </c>
      <c r="K30" s="292">
        <f>(K24+K25+K26+K29)*J30</f>
        <v>13490.300476124999</v>
      </c>
      <c r="L30" s="308" t="s">
        <v>29</v>
      </c>
      <c r="M30" s="316" t="s">
        <v>79</v>
      </c>
      <c r="N30" s="331"/>
      <c r="T30" s="9"/>
      <c r="U30" s="172"/>
      <c r="V30" s="173"/>
      <c r="W30" s="40"/>
    </row>
    <row r="31" spans="3:23" x14ac:dyDescent="0.25">
      <c r="G31" s="118" t="s">
        <v>52</v>
      </c>
      <c r="H31" s="274"/>
      <c r="I31" s="274"/>
      <c r="J31" s="224">
        <v>0.01</v>
      </c>
      <c r="K31" s="220">
        <f>(K24+K25+K26+K29)*J31</f>
        <v>1349.0300476124999</v>
      </c>
      <c r="L31" s="303" t="s">
        <v>29</v>
      </c>
      <c r="M31" s="316" t="s">
        <v>79</v>
      </c>
      <c r="N31" s="331"/>
      <c r="T31" s="48"/>
      <c r="U31" s="174"/>
      <c r="V31" s="175"/>
      <c r="W31" s="2"/>
    </row>
    <row r="32" spans="3:23" ht="30.75" thickBot="1" x14ac:dyDescent="0.3">
      <c r="D32" s="81"/>
      <c r="E32" s="82"/>
      <c r="G32" s="325" t="s">
        <v>43</v>
      </c>
      <c r="H32" s="326"/>
      <c r="I32" s="326"/>
      <c r="J32" s="344">
        <v>0.03</v>
      </c>
      <c r="K32" s="328">
        <f>K30+K31</f>
        <v>14839.330523737499</v>
      </c>
      <c r="L32" s="329" t="s">
        <v>29</v>
      </c>
      <c r="M32" s="322" t="s">
        <v>92</v>
      </c>
      <c r="T32"/>
      <c r="U32" s="176"/>
      <c r="V32" s="177"/>
      <c r="W32" s="2"/>
    </row>
    <row r="33" spans="4:23" x14ac:dyDescent="0.25">
      <c r="D33" s="81"/>
      <c r="F33" s="84"/>
      <c r="G33" s="209" t="s">
        <v>45</v>
      </c>
      <c r="H33" s="277"/>
      <c r="I33" s="277"/>
      <c r="J33" s="210">
        <v>0.12</v>
      </c>
      <c r="K33" s="266">
        <f>(K25+K26+K29+K30+K31+K22)*J33</f>
        <v>206282.4702341985</v>
      </c>
      <c r="L33" s="309" t="s">
        <v>29</v>
      </c>
      <c r="M33" s="316" t="s">
        <v>79</v>
      </c>
      <c r="T33"/>
      <c r="U33" s="176"/>
      <c r="V33" s="177"/>
      <c r="W33" s="2"/>
    </row>
    <row r="34" spans="4:23" ht="21" customHeight="1" thickBot="1" x14ac:dyDescent="0.3">
      <c r="G34" s="148" t="s">
        <v>93</v>
      </c>
      <c r="H34" s="278"/>
      <c r="I34" s="278"/>
      <c r="J34" s="149"/>
      <c r="K34" s="150">
        <f>K33+K25+K26+K29+K32-K33</f>
        <v>149742.33528498752</v>
      </c>
      <c r="L34" s="305"/>
      <c r="M34" s="316" t="s">
        <v>79</v>
      </c>
      <c r="N34" s="331"/>
      <c r="T34"/>
      <c r="U34" s="176"/>
      <c r="V34" s="177"/>
      <c r="W34" s="2"/>
    </row>
    <row r="35" spans="4:23" ht="33" customHeight="1" x14ac:dyDescent="0.25">
      <c r="G35" s="199" t="s">
        <v>10</v>
      </c>
      <c r="H35" s="279"/>
      <c r="I35" s="279"/>
      <c r="J35" s="189" t="s">
        <v>29</v>
      </c>
      <c r="K35" s="190">
        <v>130000</v>
      </c>
      <c r="L35" s="302" t="s">
        <v>29</v>
      </c>
      <c r="M35" s="316" t="s">
        <v>64</v>
      </c>
      <c r="T35" s="178"/>
      <c r="U35" s="176"/>
      <c r="V35" s="177"/>
      <c r="W35" s="2"/>
    </row>
    <row r="36" spans="4:23" ht="33" customHeight="1" x14ac:dyDescent="0.25">
      <c r="G36" s="268" t="s">
        <v>7</v>
      </c>
      <c r="H36" s="280"/>
      <c r="I36" s="280"/>
      <c r="J36" s="119" t="s">
        <v>29</v>
      </c>
      <c r="K36" s="120">
        <v>38000</v>
      </c>
      <c r="L36" s="303" t="s">
        <v>29</v>
      </c>
      <c r="M36" s="316" t="s">
        <v>64</v>
      </c>
      <c r="T36" s="179"/>
      <c r="U36" s="180"/>
      <c r="V36" s="170"/>
      <c r="W36" s="2"/>
    </row>
    <row r="37" spans="4:23" ht="33" customHeight="1" x14ac:dyDescent="0.25">
      <c r="G37" s="268" t="s">
        <v>46</v>
      </c>
      <c r="H37" s="280"/>
      <c r="I37" s="280"/>
      <c r="J37" s="119" t="s">
        <v>29</v>
      </c>
      <c r="K37" s="120">
        <v>12500</v>
      </c>
      <c r="L37" s="303" t="s">
        <v>29</v>
      </c>
      <c r="M37" s="316" t="s">
        <v>64</v>
      </c>
      <c r="T37" s="179"/>
      <c r="U37" s="180"/>
      <c r="V37" s="170"/>
      <c r="W37" s="2"/>
    </row>
    <row r="38" spans="4:23" ht="33" customHeight="1" thickBot="1" x14ac:dyDescent="0.3">
      <c r="G38" s="269" t="s">
        <v>47</v>
      </c>
      <c r="H38" s="281"/>
      <c r="I38" s="281"/>
      <c r="J38" s="191" t="s">
        <v>29</v>
      </c>
      <c r="K38" s="192">
        <v>14500</v>
      </c>
      <c r="L38" s="304" t="s">
        <v>29</v>
      </c>
      <c r="M38" s="323" t="s">
        <v>64</v>
      </c>
      <c r="V38" s="170"/>
      <c r="W38" s="2"/>
    </row>
    <row r="39" spans="4:23" ht="15.75" thickBot="1" x14ac:dyDescent="0.3">
      <c r="G39" s="193"/>
      <c r="H39" s="282"/>
      <c r="I39" s="282"/>
      <c r="J39" s="194"/>
      <c r="K39" s="195"/>
      <c r="L39" s="310"/>
      <c r="M39" s="314"/>
      <c r="V39" s="170"/>
      <c r="W39" s="2"/>
    </row>
    <row r="40" spans="4:23" ht="15.75" x14ac:dyDescent="0.25">
      <c r="G40" s="199" t="s">
        <v>51</v>
      </c>
      <c r="H40" s="279"/>
      <c r="I40" s="279"/>
      <c r="J40" s="200">
        <v>7.4999999999999997E-3</v>
      </c>
      <c r="K40" s="211">
        <f>K15*J40*3/12</f>
        <v>2154.375</v>
      </c>
      <c r="L40" s="302" t="s">
        <v>29</v>
      </c>
      <c r="M40" s="347" t="s">
        <v>94</v>
      </c>
      <c r="T40" s="181"/>
      <c r="V40" s="182"/>
      <c r="W40" s="2"/>
    </row>
    <row r="41" spans="4:23" ht="15.75" thickBot="1" x14ac:dyDescent="0.3">
      <c r="G41" s="201" t="s">
        <v>53</v>
      </c>
      <c r="H41" s="283"/>
      <c r="I41" s="283"/>
      <c r="J41" s="202">
        <v>3.5399999999999999E-4</v>
      </c>
      <c r="K41" s="203">
        <f>J41*K15</f>
        <v>406.74599999999998</v>
      </c>
      <c r="L41" s="304" t="s">
        <v>29</v>
      </c>
      <c r="M41" s="323" t="s">
        <v>79</v>
      </c>
      <c r="T41" s="48"/>
      <c r="U41" s="33"/>
      <c r="V41" s="183"/>
      <c r="W41" s="2"/>
    </row>
    <row r="42" spans="4:23" ht="15.75" thickBot="1" x14ac:dyDescent="0.3">
      <c r="G42" s="196"/>
      <c r="H42" s="284"/>
      <c r="I42" s="284"/>
      <c r="J42" s="197"/>
      <c r="K42" s="198"/>
      <c r="L42" s="310"/>
      <c r="M42" s="314"/>
      <c r="V42" s="170"/>
      <c r="W42" s="2"/>
    </row>
    <row r="43" spans="4:23" x14ac:dyDescent="0.25">
      <c r="G43" s="140" t="s">
        <v>95</v>
      </c>
      <c r="H43" s="285"/>
      <c r="I43" s="285"/>
      <c r="J43" s="141"/>
      <c r="K43" s="142">
        <f>SUM(K35:K41)+K23+K34</f>
        <v>751751.45628498751</v>
      </c>
      <c r="L43" s="311" t="s">
        <v>29</v>
      </c>
      <c r="M43" s="315" t="s">
        <v>79</v>
      </c>
      <c r="N43" s="333"/>
      <c r="T43" s="48"/>
      <c r="V43" s="170"/>
      <c r="W43" s="2"/>
    </row>
    <row r="44" spans="4:23" ht="16.5" thickBot="1" x14ac:dyDescent="0.3">
      <c r="G44" s="151" t="s">
        <v>57</v>
      </c>
      <c r="H44" s="286"/>
      <c r="I44" s="286"/>
      <c r="J44" s="143"/>
      <c r="K44" s="144">
        <f>K43/K15</f>
        <v>0.65426584533071153</v>
      </c>
      <c r="L44" s="305"/>
      <c r="M44" s="316" t="s">
        <v>79</v>
      </c>
      <c r="T44" s="48"/>
      <c r="U44" s="184"/>
      <c r="V44" s="183"/>
      <c r="W44" s="2"/>
    </row>
    <row r="45" spans="4:23" ht="15.75" thickBot="1" x14ac:dyDescent="0.3">
      <c r="G45" s="204" t="s">
        <v>55</v>
      </c>
      <c r="H45" s="287"/>
      <c r="I45" s="287"/>
      <c r="J45" s="205"/>
      <c r="K45" s="206">
        <f>SUM(K15,K16,K23,K24,K25,K26,K27,K28,K29,K32,K33,K35,K36,K37,K38,K39,K40,K41,K42)-K33</f>
        <v>1901088.8511087373</v>
      </c>
      <c r="L45" s="312" t="s">
        <v>29</v>
      </c>
      <c r="M45" s="323" t="s">
        <v>79</v>
      </c>
      <c r="V45" s="185"/>
      <c r="W45" s="2"/>
    </row>
    <row r="46" spans="4:23" ht="15.75" thickBot="1" x14ac:dyDescent="0.3">
      <c r="G46" s="109"/>
      <c r="H46" s="270"/>
      <c r="I46" s="270"/>
      <c r="J46" s="110"/>
      <c r="K46" s="122"/>
      <c r="L46" s="302"/>
      <c r="M46" s="314"/>
      <c r="T46" s="48"/>
      <c r="U46" s="48"/>
      <c r="V46" s="183"/>
      <c r="W46" s="66"/>
    </row>
    <row r="47" spans="4:23" x14ac:dyDescent="0.25">
      <c r="G47" s="123"/>
      <c r="H47" s="288"/>
      <c r="I47" s="288"/>
      <c r="J47" s="10"/>
      <c r="K47" s="94">
        <f>+K45</f>
        <v>1901088.8511087373</v>
      </c>
      <c r="L47" s="303" t="s">
        <v>29</v>
      </c>
      <c r="M47" s="315" t="s">
        <v>79</v>
      </c>
    </row>
    <row r="48" spans="4:23" x14ac:dyDescent="0.25">
      <c r="G48" s="123" t="s">
        <v>58</v>
      </c>
      <c r="H48" s="288" t="s">
        <v>84</v>
      </c>
      <c r="I48" s="288" t="s">
        <v>85</v>
      </c>
      <c r="J48" s="288">
        <v>77.150000000000006</v>
      </c>
      <c r="K48" s="98">
        <f>K47/J48</f>
        <v>24641.46274930314</v>
      </c>
      <c r="L48" s="303" t="s">
        <v>22</v>
      </c>
      <c r="M48" s="316" t="s">
        <v>79</v>
      </c>
    </row>
    <row r="49" spans="7:13" ht="15.75" thickBot="1" x14ac:dyDescent="0.3">
      <c r="G49" s="208" t="s">
        <v>96</v>
      </c>
      <c r="H49" s="295"/>
      <c r="I49" s="295"/>
      <c r="J49" s="295"/>
      <c r="K49" s="296">
        <f>K48/K12</f>
        <v>2464.1462749303141</v>
      </c>
      <c r="L49" s="307" t="s">
        <v>22</v>
      </c>
      <c r="M49" s="316" t="s">
        <v>79</v>
      </c>
    </row>
    <row r="50" spans="7:13" ht="15.75" thickBot="1" x14ac:dyDescent="0.3">
      <c r="G50" s="297" t="s">
        <v>61</v>
      </c>
      <c r="H50" s="298" t="s">
        <v>84</v>
      </c>
      <c r="I50" s="298" t="s">
        <v>85</v>
      </c>
      <c r="J50" s="298">
        <v>77.150000000000006</v>
      </c>
      <c r="K50" s="299">
        <f>K49*J50</f>
        <v>190108.88511087376</v>
      </c>
      <c r="L50" s="313" t="s">
        <v>29</v>
      </c>
      <c r="M50" s="323" t="s">
        <v>79</v>
      </c>
    </row>
    <row r="1048575" spans="37:37" x14ac:dyDescent="0.25">
      <c r="AK1048575" s="333" t="s">
        <v>97</v>
      </c>
    </row>
  </sheetData>
  <mergeCells count="5">
    <mergeCell ref="G3:M3"/>
    <mergeCell ref="H7:J7"/>
    <mergeCell ref="H8:J8"/>
    <mergeCell ref="H9:J9"/>
    <mergeCell ref="H10:J10"/>
  </mergeCells>
  <pageMargins left="0.70866141732283472" right="0.70866141732283472" top="0.74803149606299213" bottom="0.74803149606299213" header="0.31496062992125984" footer="0.31496062992125984"/>
  <pageSetup scale="4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B1:AB33"/>
  <sheetViews>
    <sheetView zoomScale="85" zoomScaleNormal="85" workbookViewId="0">
      <selection activeCell="K33" sqref="K33"/>
    </sheetView>
  </sheetViews>
  <sheetFormatPr defaultColWidth="9.140625" defaultRowHeight="15" x14ac:dyDescent="0.25"/>
  <cols>
    <col min="1" max="1" width="2" style="1" customWidth="1"/>
    <col min="2" max="2" width="9.140625" style="1"/>
    <col min="3" max="3" width="17.7109375" style="1" customWidth="1"/>
    <col min="4" max="4" width="13.28515625" style="2" bestFit="1" customWidth="1"/>
    <col min="5" max="5" width="12.28515625" style="1" customWidth="1"/>
    <col min="6" max="6" width="16.140625" style="1" customWidth="1"/>
    <col min="7" max="7" width="2.28515625" style="1" customWidth="1"/>
    <col min="8" max="8" width="2.7109375" style="1" customWidth="1"/>
    <col min="9" max="9" width="34" style="1" customWidth="1"/>
    <col min="10" max="10" width="7.28515625" style="1" customWidth="1"/>
    <col min="11" max="11" width="16.7109375" style="2" customWidth="1"/>
    <col min="12" max="12" width="8" style="1" customWidth="1"/>
    <col min="13" max="13" width="3.28515625" style="1" customWidth="1"/>
    <col min="14" max="14" width="3.7109375" style="1" customWidth="1"/>
    <col min="15" max="15" width="21.42578125" style="1" customWidth="1"/>
    <col min="16" max="16" width="10.140625" style="1" customWidth="1"/>
    <col min="17" max="17" width="20" style="1" customWidth="1"/>
    <col min="18" max="18" width="11" style="1" customWidth="1"/>
    <col min="19" max="19" width="6.85546875" style="1" customWidth="1"/>
    <col min="20" max="20" width="22.140625" style="1" customWidth="1"/>
    <col min="21" max="24" width="9.140625" style="1"/>
    <col min="25" max="28" width="11.7109375" style="1" customWidth="1"/>
    <col min="29" max="16384" width="9.140625" style="1"/>
  </cols>
  <sheetData>
    <row r="1" spans="2:28" x14ac:dyDescent="0.25">
      <c r="T1" s="361" t="s">
        <v>0</v>
      </c>
      <c r="U1" s="362"/>
      <c r="V1" s="362"/>
      <c r="W1" s="362"/>
      <c r="X1" s="362"/>
      <c r="Y1" s="362"/>
      <c r="Z1" s="362"/>
      <c r="AA1" s="362"/>
      <c r="AB1" s="363"/>
    </row>
    <row r="2" spans="2:28" ht="36" x14ac:dyDescent="0.25">
      <c r="I2" s="107" t="s">
        <v>1</v>
      </c>
      <c r="T2" s="101" t="s">
        <v>2</v>
      </c>
      <c r="U2" s="100" t="s">
        <v>3</v>
      </c>
      <c r="V2" s="100" t="s">
        <v>4</v>
      </c>
      <c r="W2" s="100" t="s">
        <v>5</v>
      </c>
      <c r="X2" s="100" t="s">
        <v>6</v>
      </c>
      <c r="Y2" s="100" t="s">
        <v>7</v>
      </c>
      <c r="Z2" s="100" t="s">
        <v>8</v>
      </c>
      <c r="AA2" s="100" t="s">
        <v>9</v>
      </c>
      <c r="AB2" s="100" t="s">
        <v>10</v>
      </c>
    </row>
    <row r="3" spans="2:28" s="102" customFormat="1" ht="28.5" customHeight="1" x14ac:dyDescent="0.25">
      <c r="D3" s="356" t="s">
        <v>11</v>
      </c>
      <c r="E3" s="357"/>
      <c r="F3" s="103">
        <v>77.150000000000006</v>
      </c>
      <c r="I3" s="108" t="s">
        <v>12</v>
      </c>
      <c r="O3" s="358" t="s">
        <v>13</v>
      </c>
      <c r="P3" s="358"/>
      <c r="Q3" s="359"/>
      <c r="R3" s="104">
        <v>76.599999999999994</v>
      </c>
      <c r="T3" s="90" t="s">
        <v>14</v>
      </c>
      <c r="U3" s="91" t="s">
        <v>15</v>
      </c>
      <c r="V3" s="91" t="s">
        <v>16</v>
      </c>
      <c r="W3" s="91" t="s">
        <v>17</v>
      </c>
      <c r="X3" s="92">
        <v>5280</v>
      </c>
      <c r="Y3" s="92">
        <v>38000</v>
      </c>
      <c r="Z3" s="92">
        <v>14500</v>
      </c>
      <c r="AA3" s="92">
        <v>12500</v>
      </c>
      <c r="AB3" s="92">
        <v>130000</v>
      </c>
    </row>
    <row r="6" spans="2:28" ht="18.75" x14ac:dyDescent="0.25">
      <c r="B6" s="5"/>
      <c r="C6" s="6"/>
      <c r="D6" s="7"/>
      <c r="E6" s="6"/>
      <c r="F6" s="6"/>
      <c r="G6" s="6"/>
      <c r="H6" s="6"/>
      <c r="I6" s="86" t="s">
        <v>18</v>
      </c>
      <c r="J6" s="87"/>
      <c r="K6" s="87"/>
      <c r="L6" s="88"/>
      <c r="N6" s="4"/>
      <c r="O6" s="2"/>
    </row>
    <row r="8" spans="2:28" x14ac:dyDescent="0.25">
      <c r="G8" s="3"/>
      <c r="I8" s="10" t="s">
        <v>19</v>
      </c>
      <c r="J8" s="10"/>
      <c r="K8" s="11">
        <v>10</v>
      </c>
      <c r="L8" s="12" t="s">
        <v>20</v>
      </c>
      <c r="M8" s="13"/>
      <c r="O8" s="1" t="s">
        <v>21</v>
      </c>
    </row>
    <row r="9" spans="2:28" ht="18.75" x14ac:dyDescent="0.25">
      <c r="B9" s="12" t="s">
        <v>22</v>
      </c>
      <c r="C9" s="89">
        <v>76.599999999999994</v>
      </c>
      <c r="E9" s="12" t="s">
        <v>22</v>
      </c>
      <c r="F9" s="14">
        <f>F3</f>
        <v>77.150000000000006</v>
      </c>
      <c r="G9" s="3"/>
      <c r="I9" s="15" t="s">
        <v>23</v>
      </c>
      <c r="J9" s="10"/>
      <c r="K9" s="16">
        <v>1500</v>
      </c>
      <c r="L9" s="12" t="s">
        <v>22</v>
      </c>
      <c r="M9" s="13"/>
      <c r="O9" s="17"/>
      <c r="P9" s="17"/>
      <c r="Q9" s="17"/>
      <c r="R9" s="18"/>
    </row>
    <row r="10" spans="2:28" x14ac:dyDescent="0.25">
      <c r="E10" s="12" t="s">
        <v>24</v>
      </c>
      <c r="F10" s="12">
        <v>1</v>
      </c>
      <c r="G10" s="3"/>
      <c r="I10" s="19" t="s">
        <v>25</v>
      </c>
      <c r="J10" s="10"/>
      <c r="K10" s="20">
        <f>K8*K9</f>
        <v>15000</v>
      </c>
      <c r="L10" s="12" t="s">
        <v>22</v>
      </c>
      <c r="M10" s="13"/>
      <c r="O10" s="21"/>
      <c r="P10" s="18"/>
      <c r="Q10" s="22"/>
      <c r="R10" s="23" t="s">
        <v>26</v>
      </c>
    </row>
    <row r="11" spans="2:28" x14ac:dyDescent="0.25">
      <c r="B11" s="1" t="s">
        <v>27</v>
      </c>
      <c r="D11" s="1"/>
      <c r="G11" s="3"/>
      <c r="I11" s="19" t="s">
        <v>28</v>
      </c>
      <c r="J11" s="10"/>
      <c r="K11" s="24">
        <f>K10*C9</f>
        <v>1149000</v>
      </c>
      <c r="L11" s="12" t="s">
        <v>29</v>
      </c>
      <c r="M11" s="13"/>
      <c r="O11" s="25" t="s">
        <v>30</v>
      </c>
      <c r="P11" s="26" t="s">
        <v>22</v>
      </c>
      <c r="Q11" s="27">
        <f>X3</f>
        <v>5280</v>
      </c>
      <c r="R11" s="18"/>
    </row>
    <row r="12" spans="2:28" x14ac:dyDescent="0.25">
      <c r="B12" s="1" t="s">
        <v>31</v>
      </c>
      <c r="E12" s="360"/>
      <c r="F12" s="360"/>
      <c r="G12" s="3"/>
      <c r="I12" s="15" t="s">
        <v>32</v>
      </c>
      <c r="J12" s="28"/>
      <c r="K12" s="11">
        <f>Q12</f>
        <v>404447.99999999994</v>
      </c>
      <c r="L12" s="12" t="s">
        <v>29</v>
      </c>
      <c r="O12" s="25" t="s">
        <v>33</v>
      </c>
      <c r="P12" s="26" t="s">
        <v>29</v>
      </c>
      <c r="Q12" s="105">
        <f>Q11*R12</f>
        <v>404447.99999999994</v>
      </c>
      <c r="R12" s="93">
        <f>R3</f>
        <v>76.599999999999994</v>
      </c>
    </row>
    <row r="13" spans="2:28" x14ac:dyDescent="0.25">
      <c r="B13" s="1" t="s">
        <v>34</v>
      </c>
      <c r="E13" s="360">
        <f>+K11</f>
        <v>1149000</v>
      </c>
      <c r="F13" s="360"/>
      <c r="G13" s="3"/>
      <c r="I13" s="10"/>
      <c r="J13" s="28"/>
      <c r="K13" s="29"/>
      <c r="L13" s="12"/>
      <c r="O13" s="25" t="s">
        <v>35</v>
      </c>
      <c r="P13" s="26" t="s">
        <v>29</v>
      </c>
      <c r="Q13" s="106" t="s">
        <v>98</v>
      </c>
      <c r="R13" s="18"/>
    </row>
    <row r="14" spans="2:28" x14ac:dyDescent="0.25">
      <c r="B14" s="1" t="s">
        <v>36</v>
      </c>
      <c r="D14" s="30"/>
      <c r="E14" s="360">
        <f>Q11*F9</f>
        <v>407352.00000000006</v>
      </c>
      <c r="F14" s="360"/>
      <c r="G14" s="3"/>
      <c r="I14" s="10" t="s">
        <v>37</v>
      </c>
      <c r="J14" s="31">
        <f>D20</f>
        <v>7.4999999999999997E-2</v>
      </c>
      <c r="K14" s="94">
        <f>E20</f>
        <v>117695.86874999999</v>
      </c>
      <c r="L14" s="12" t="s">
        <v>29</v>
      </c>
      <c r="O14" s="32"/>
      <c r="Q14" s="33"/>
      <c r="R14" s="18"/>
    </row>
    <row r="15" spans="2:28" x14ac:dyDescent="0.25">
      <c r="B15" s="1" t="s">
        <v>38</v>
      </c>
      <c r="D15" s="30"/>
      <c r="E15" s="364">
        <f>(E13)*1.125%</f>
        <v>12926.25</v>
      </c>
      <c r="F15" s="364"/>
      <c r="G15" s="3"/>
      <c r="I15" s="10" t="s">
        <v>39</v>
      </c>
      <c r="J15" s="31">
        <f>D21</f>
        <v>0</v>
      </c>
      <c r="K15" s="94">
        <f>E21</f>
        <v>0</v>
      </c>
      <c r="L15" s="12" t="s">
        <v>29</v>
      </c>
      <c r="O15" s="34"/>
      <c r="P15" s="26"/>
      <c r="Q15" s="35"/>
      <c r="R15" s="36"/>
    </row>
    <row r="16" spans="2:28" x14ac:dyDescent="0.25">
      <c r="B16" s="1" t="s">
        <v>40</v>
      </c>
      <c r="E16" s="360">
        <f>E15+E14+E13</f>
        <v>1569278.25</v>
      </c>
      <c r="F16" s="360"/>
      <c r="G16" s="3"/>
      <c r="I16" s="10" t="s">
        <v>41</v>
      </c>
      <c r="J16" s="37">
        <v>0</v>
      </c>
      <c r="K16" s="94">
        <f>+E22+E23</f>
        <v>0</v>
      </c>
      <c r="L16" s="12" t="s">
        <v>29</v>
      </c>
      <c r="O16" s="34"/>
      <c r="P16" s="10"/>
      <c r="Q16" s="35"/>
      <c r="R16" s="18"/>
    </row>
    <row r="17" spans="2:18" ht="15.75" thickBot="1" x14ac:dyDescent="0.3">
      <c r="B17" s="1" t="s">
        <v>42</v>
      </c>
      <c r="D17" s="38">
        <v>0</v>
      </c>
      <c r="E17" s="360">
        <f>E16*D17</f>
        <v>0</v>
      </c>
      <c r="F17" s="360"/>
      <c r="G17" s="3"/>
      <c r="I17" s="10" t="s">
        <v>43</v>
      </c>
      <c r="J17" s="37">
        <v>0.03</v>
      </c>
      <c r="K17" s="94">
        <f>E24+E25</f>
        <v>11769.586875000001</v>
      </c>
      <c r="L17" s="12" t="s">
        <v>29</v>
      </c>
      <c r="O17" s="34"/>
      <c r="P17" s="10"/>
      <c r="Q17" s="35"/>
      <c r="R17" s="18"/>
    </row>
    <row r="18" spans="2:18" ht="15.75" thickBot="1" x14ac:dyDescent="0.3">
      <c r="B18" s="39" t="s">
        <v>44</v>
      </c>
      <c r="C18" s="9"/>
      <c r="D18" s="40"/>
      <c r="E18" s="354">
        <f>E16+E17</f>
        <v>1569278.25</v>
      </c>
      <c r="F18" s="355"/>
      <c r="G18" s="8"/>
      <c r="H18" s="9"/>
      <c r="I18" s="41" t="s">
        <v>45</v>
      </c>
      <c r="J18" s="42">
        <v>0.12</v>
      </c>
      <c r="K18" s="95">
        <f>E26</f>
        <v>203849.24467499999</v>
      </c>
      <c r="L18" s="43" t="s">
        <v>29</v>
      </c>
      <c r="M18" s="9"/>
      <c r="N18" s="9"/>
      <c r="O18" s="44" t="s">
        <v>10</v>
      </c>
      <c r="P18" s="45" t="s">
        <v>29</v>
      </c>
      <c r="Q18" s="46">
        <f>AB3</f>
        <v>130000</v>
      </c>
      <c r="R18" s="47"/>
    </row>
    <row r="19" spans="2:18" x14ac:dyDescent="0.25">
      <c r="B19" s="48"/>
      <c r="E19" s="49"/>
      <c r="F19" s="49"/>
      <c r="G19" s="3"/>
      <c r="I19" s="10"/>
      <c r="J19" s="50"/>
      <c r="K19" s="94"/>
      <c r="L19" s="12"/>
      <c r="O19" s="51" t="s">
        <v>7</v>
      </c>
      <c r="P19" s="45" t="s">
        <v>29</v>
      </c>
      <c r="Q19" s="46">
        <f>Y3</f>
        <v>38000</v>
      </c>
      <c r="R19" s="18"/>
    </row>
    <row r="20" spans="2:18" x14ac:dyDescent="0.25">
      <c r="B20" s="1" t="s">
        <v>37</v>
      </c>
      <c r="D20" s="52">
        <v>7.4999999999999997E-2</v>
      </c>
      <c r="E20" s="53">
        <f>E18*D20</f>
        <v>117695.86874999999</v>
      </c>
      <c r="F20" s="53">
        <f t="shared" ref="F20:F26" si="0">+E20</f>
        <v>117695.86874999999</v>
      </c>
      <c r="G20" s="3"/>
      <c r="I20" s="44" t="s">
        <v>10</v>
      </c>
      <c r="J20" s="54" t="s">
        <v>29</v>
      </c>
      <c r="K20" s="96">
        <f>Q18</f>
        <v>130000</v>
      </c>
      <c r="L20" s="12" t="s">
        <v>29</v>
      </c>
      <c r="M20" s="36"/>
      <c r="O20" s="51" t="s">
        <v>46</v>
      </c>
      <c r="P20" s="45" t="s">
        <v>29</v>
      </c>
      <c r="Q20" s="46">
        <f>AA3</f>
        <v>12500</v>
      </c>
    </row>
    <row r="21" spans="2:18" x14ac:dyDescent="0.25">
      <c r="B21" s="1" t="s">
        <v>39</v>
      </c>
      <c r="D21" s="38">
        <v>0</v>
      </c>
      <c r="E21" s="53">
        <f>(E18+E20)*D21</f>
        <v>0</v>
      </c>
      <c r="F21" s="53">
        <f t="shared" si="0"/>
        <v>0</v>
      </c>
      <c r="G21" s="3"/>
      <c r="H21" s="33"/>
      <c r="I21" s="51" t="s">
        <v>7</v>
      </c>
      <c r="J21" s="54" t="s">
        <v>29</v>
      </c>
      <c r="K21" s="96">
        <f>Q19</f>
        <v>38000</v>
      </c>
      <c r="L21" s="55" t="s">
        <v>29</v>
      </c>
      <c r="M21" s="56"/>
      <c r="O21" s="57" t="s">
        <v>47</v>
      </c>
      <c r="P21" s="45" t="s">
        <v>29</v>
      </c>
      <c r="Q21" s="46">
        <f>Z3</f>
        <v>14500</v>
      </c>
    </row>
    <row r="22" spans="2:18" x14ac:dyDescent="0.25">
      <c r="B22" s="1" t="s">
        <v>48</v>
      </c>
      <c r="D22" s="38">
        <v>0</v>
      </c>
      <c r="E22" s="53">
        <f>E21*D22</f>
        <v>0</v>
      </c>
      <c r="F22" s="53">
        <f t="shared" si="0"/>
        <v>0</v>
      </c>
      <c r="G22" s="3"/>
      <c r="H22" s="33"/>
      <c r="I22" s="51" t="s">
        <v>46</v>
      </c>
      <c r="J22" s="54" t="s">
        <v>29</v>
      </c>
      <c r="K22" s="96">
        <f>Q20</f>
        <v>12500</v>
      </c>
      <c r="L22" s="55" t="s">
        <v>29</v>
      </c>
      <c r="O22" s="58"/>
      <c r="P22" s="26"/>
      <c r="Q22" s="59"/>
    </row>
    <row r="23" spans="2:18" x14ac:dyDescent="0.25">
      <c r="B23" s="1" t="s">
        <v>49</v>
      </c>
      <c r="D23" s="38">
        <v>0</v>
      </c>
      <c r="E23" s="53">
        <f>E21*D23</f>
        <v>0</v>
      </c>
      <c r="F23" s="53">
        <f t="shared" si="0"/>
        <v>0</v>
      </c>
      <c r="G23" s="3"/>
      <c r="H23" s="33"/>
      <c r="I23" s="57" t="s">
        <v>47</v>
      </c>
      <c r="J23" s="54" t="s">
        <v>29</v>
      </c>
      <c r="K23" s="96">
        <f>Q21</f>
        <v>14500</v>
      </c>
      <c r="L23" s="55" t="s">
        <v>29</v>
      </c>
      <c r="M23" s="56"/>
      <c r="O23" s="60"/>
      <c r="P23" s="26"/>
      <c r="Q23" s="59"/>
    </row>
    <row r="24" spans="2:18" x14ac:dyDescent="0.25">
      <c r="B24" s="1" t="s">
        <v>50</v>
      </c>
      <c r="D24" s="38">
        <v>0.1</v>
      </c>
      <c r="E24" s="53">
        <f>(E20+E21+E22+E23)*D24</f>
        <v>11769.586875000001</v>
      </c>
      <c r="F24" s="53">
        <f t="shared" si="0"/>
        <v>11769.586875000001</v>
      </c>
      <c r="G24" s="3"/>
      <c r="I24" s="61" t="s">
        <v>51</v>
      </c>
      <c r="J24" s="54" t="s">
        <v>29</v>
      </c>
      <c r="K24" s="97">
        <f>Q25</f>
        <v>2154.375</v>
      </c>
      <c r="L24" s="55" t="s">
        <v>29</v>
      </c>
      <c r="O24" s="25"/>
      <c r="P24" s="26"/>
      <c r="Q24" s="59"/>
    </row>
    <row r="25" spans="2:18" x14ac:dyDescent="0.25">
      <c r="B25" s="1" t="s">
        <v>52</v>
      </c>
      <c r="D25" s="38">
        <v>0</v>
      </c>
      <c r="E25" s="53">
        <f>(E20+E21+E22+E23)*D25</f>
        <v>0</v>
      </c>
      <c r="F25" s="53">
        <f t="shared" si="0"/>
        <v>0</v>
      </c>
      <c r="G25" s="3"/>
      <c r="I25" s="61" t="s">
        <v>53</v>
      </c>
      <c r="J25" s="54" t="s">
        <v>29</v>
      </c>
      <c r="K25" s="97">
        <f>Q26</f>
        <v>406.74599999999998</v>
      </c>
      <c r="L25" s="55" t="s">
        <v>29</v>
      </c>
      <c r="O25" s="61" t="s">
        <v>98</v>
      </c>
      <c r="P25" s="26" t="s">
        <v>29</v>
      </c>
      <c r="Q25" s="27">
        <f>K11*0.75%*3/12</f>
        <v>2154.375</v>
      </c>
    </row>
    <row r="26" spans="2:18" ht="15.75" thickBot="1" x14ac:dyDescent="0.3">
      <c r="B26" s="1" t="s">
        <v>45</v>
      </c>
      <c r="D26" s="38">
        <v>0.12</v>
      </c>
      <c r="E26" s="53">
        <f>(E20+E21+E22+E23+E24+E25+E18)*D26</f>
        <v>203849.24467499999</v>
      </c>
      <c r="F26" s="53">
        <f t="shared" si="0"/>
        <v>203849.24467499999</v>
      </c>
      <c r="G26" s="3"/>
      <c r="I26" s="10"/>
      <c r="J26" s="10"/>
      <c r="K26" s="97"/>
      <c r="L26" s="12" t="s">
        <v>29</v>
      </c>
      <c r="O26" s="61" t="s">
        <v>53</v>
      </c>
      <c r="P26" s="26" t="s">
        <v>29</v>
      </c>
      <c r="Q26" s="62">
        <f>+K11*0.0354%</f>
        <v>406.74599999999998</v>
      </c>
      <c r="R26" s="18"/>
    </row>
    <row r="27" spans="2:18" ht="15.75" thickBot="1" x14ac:dyDescent="0.3">
      <c r="B27" s="48" t="s">
        <v>54</v>
      </c>
      <c r="E27" s="64">
        <f>E26+E25+E24+E23+E22+E21+E20-E26</f>
        <v>129465.45562500003</v>
      </c>
      <c r="F27" s="65"/>
      <c r="G27" s="63"/>
      <c r="I27" s="10"/>
      <c r="J27" s="10"/>
      <c r="K27" s="97"/>
      <c r="L27" s="12"/>
      <c r="O27" s="25"/>
      <c r="P27" s="26"/>
      <c r="Q27" s="62"/>
    </row>
    <row r="28" spans="2:18" x14ac:dyDescent="0.25">
      <c r="C28" s="2"/>
      <c r="D28" s="66"/>
      <c r="E28" s="48"/>
      <c r="F28" s="67"/>
      <c r="G28" s="3"/>
      <c r="I28" s="68" t="s">
        <v>55</v>
      </c>
      <c r="J28" s="69"/>
      <c r="K28" s="98">
        <f>SUM(K11:K27)-K18</f>
        <v>1880474.576625</v>
      </c>
      <c r="L28" s="12" t="s">
        <v>29</v>
      </c>
      <c r="M28" s="70"/>
      <c r="O28" s="71" t="s">
        <v>56</v>
      </c>
      <c r="P28" s="26"/>
      <c r="Q28" s="72">
        <f>SUM(Q12:Q27)-Q15-Q24</f>
        <v>602009.12100000004</v>
      </c>
      <c r="R28" s="1">
        <f>+Q28/3</f>
        <v>200669.70700000002</v>
      </c>
    </row>
    <row r="29" spans="2:18" x14ac:dyDescent="0.25">
      <c r="E29" s="73"/>
      <c r="F29" s="74"/>
      <c r="G29" s="3"/>
      <c r="I29" s="10"/>
      <c r="J29" s="10"/>
      <c r="K29" s="94"/>
      <c r="L29" s="12"/>
    </row>
    <row r="30" spans="2:18" ht="15.75" x14ac:dyDescent="0.25">
      <c r="C30" s="48"/>
      <c r="D30" s="75"/>
      <c r="F30" s="67">
        <v>0</v>
      </c>
      <c r="G30" s="3"/>
      <c r="I30" s="68" t="s">
        <v>55</v>
      </c>
      <c r="J30" s="10"/>
      <c r="K30" s="94">
        <f>+K28-F30</f>
        <v>1880474.576625</v>
      </c>
      <c r="L30" s="12" t="s">
        <v>29</v>
      </c>
      <c r="O30" s="76" t="s">
        <v>57</v>
      </c>
      <c r="P30" s="77"/>
      <c r="Q30" s="78">
        <f>Q28/K11</f>
        <v>0.52394179373368155</v>
      </c>
    </row>
    <row r="31" spans="2:18" ht="15.75" x14ac:dyDescent="0.25">
      <c r="G31" s="3"/>
      <c r="I31" s="68" t="s">
        <v>58</v>
      </c>
      <c r="J31" s="79"/>
      <c r="K31" s="98">
        <f>K30/F9</f>
        <v>24374.265413156187</v>
      </c>
      <c r="L31" s="12" t="s">
        <v>22</v>
      </c>
      <c r="O31" s="80" t="s">
        <v>59</v>
      </c>
      <c r="P31" s="80">
        <v>3</v>
      </c>
      <c r="Q31" s="72">
        <f>+Q28/P31</f>
        <v>200669.70700000002</v>
      </c>
    </row>
    <row r="32" spans="2:18" x14ac:dyDescent="0.25">
      <c r="D32" s="81"/>
      <c r="E32" s="82"/>
      <c r="G32" s="3"/>
      <c r="I32" s="10" t="s">
        <v>60</v>
      </c>
      <c r="J32" s="10"/>
      <c r="K32" s="99">
        <f>K31/K8</f>
        <v>2437.4265413156186</v>
      </c>
      <c r="L32" s="12"/>
      <c r="M32" s="83"/>
    </row>
    <row r="33" spans="4:12" x14ac:dyDescent="0.25">
      <c r="D33" s="81"/>
      <c r="F33" s="84"/>
      <c r="G33" s="3"/>
      <c r="I33" s="68" t="s">
        <v>61</v>
      </c>
      <c r="J33" s="68"/>
      <c r="K33" s="98">
        <f>K32*F9</f>
        <v>188047.45766249998</v>
      </c>
      <c r="L33" s="85"/>
    </row>
  </sheetData>
  <mergeCells count="10">
    <mergeCell ref="E15:F15"/>
    <mergeCell ref="E16:F16"/>
    <mergeCell ref="E17:F17"/>
    <mergeCell ref="E18:F18"/>
    <mergeCell ref="T1:AB1"/>
    <mergeCell ref="D3:E3"/>
    <mergeCell ref="O3:Q3"/>
    <mergeCell ref="E12:F12"/>
    <mergeCell ref="E13:F13"/>
    <mergeCell ref="E14:F14"/>
  </mergeCells>
  <pageMargins left="0.70866141732283472" right="0.70866141732283472" top="0.74803149606299213" bottom="0.74803149606299213" header="0.31496062992125984" footer="0.31496062992125984"/>
  <pageSetup scale="4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5:J63"/>
  <sheetViews>
    <sheetView zoomScale="80" zoomScaleNormal="80" workbookViewId="0">
      <selection activeCell="J6" sqref="J6"/>
    </sheetView>
  </sheetViews>
  <sheetFormatPr defaultRowHeight="15" x14ac:dyDescent="0.25"/>
  <cols>
    <col min="1" max="1" width="22.7109375" customWidth="1"/>
    <col min="2" max="2" width="30.28515625" customWidth="1"/>
    <col min="3" max="3" width="29.42578125" customWidth="1"/>
    <col min="4" max="4" width="12.5703125" customWidth="1"/>
    <col min="5" max="5" width="10.85546875" customWidth="1"/>
    <col min="6" max="6" width="30.5703125" customWidth="1"/>
    <col min="7" max="7" width="18" customWidth="1"/>
    <col min="8" max="8" width="13.7109375" customWidth="1"/>
    <col min="9" max="9" width="26.140625" customWidth="1"/>
    <col min="10" max="10" width="14.42578125" customWidth="1"/>
  </cols>
  <sheetData>
    <row r="5" spans="10:10" x14ac:dyDescent="0.25">
      <c r="J5" t="s">
        <v>99</v>
      </c>
    </row>
    <row r="30" spans="2:10" ht="15.75" thickBot="1" x14ac:dyDescent="0.3"/>
    <row r="31" spans="2:10" ht="32.25" thickBot="1" x14ac:dyDescent="0.3">
      <c r="B31" s="188" t="s">
        <v>100</v>
      </c>
      <c r="C31" s="259"/>
      <c r="F31" s="186" t="s">
        <v>101</v>
      </c>
      <c r="G31" s="187" t="s">
        <v>102</v>
      </c>
      <c r="H31" s="187" t="s">
        <v>103</v>
      </c>
      <c r="I31" s="126" t="s">
        <v>13</v>
      </c>
      <c r="J31" s="127">
        <v>76.599999999999994</v>
      </c>
    </row>
    <row r="32" spans="2:10" ht="32.25" thickBot="1" x14ac:dyDescent="0.3">
      <c r="B32" s="124" t="s">
        <v>104</v>
      </c>
      <c r="C32" s="251"/>
      <c r="F32" s="102"/>
      <c r="G32" t="s">
        <v>84</v>
      </c>
      <c r="H32" t="s">
        <v>105</v>
      </c>
      <c r="I32" s="128" t="s">
        <v>11</v>
      </c>
      <c r="J32" s="129">
        <v>77.150000000000006</v>
      </c>
    </row>
    <row r="33" spans="1:10" x14ac:dyDescent="0.25">
      <c r="B33" s="124" t="s">
        <v>106</v>
      </c>
      <c r="C33" s="251"/>
      <c r="F33" s="1"/>
    </row>
    <row r="34" spans="1:10" x14ac:dyDescent="0.25">
      <c r="B34" s="124" t="s">
        <v>107</v>
      </c>
      <c r="C34" s="251"/>
    </row>
    <row r="35" spans="1:10" ht="15.75" thickBot="1" x14ac:dyDescent="0.3">
      <c r="B35" s="260" t="s">
        <v>108</v>
      </c>
      <c r="C35" s="254"/>
    </row>
    <row r="36" spans="1:10" x14ac:dyDescent="0.25">
      <c r="B36" s="246" t="s">
        <v>3</v>
      </c>
      <c r="C36" s="247" t="s">
        <v>15</v>
      </c>
      <c r="D36" s="248"/>
      <c r="F36" s="109" t="s">
        <v>19</v>
      </c>
      <c r="G36" s="110"/>
      <c r="H36" s="255">
        <v>10</v>
      </c>
      <c r="I36" s="111" t="s">
        <v>20</v>
      </c>
      <c r="J36" s="261" t="s">
        <v>75</v>
      </c>
    </row>
    <row r="37" spans="1:10" x14ac:dyDescent="0.25">
      <c r="B37" s="249" t="s">
        <v>4</v>
      </c>
      <c r="C37" s="212" t="s">
        <v>16</v>
      </c>
      <c r="D37" s="250"/>
      <c r="F37" s="112" t="s">
        <v>23</v>
      </c>
      <c r="G37" s="10"/>
      <c r="H37" s="16">
        <v>1500</v>
      </c>
      <c r="I37" s="113" t="s">
        <v>22</v>
      </c>
      <c r="J37" s="261" t="s">
        <v>75</v>
      </c>
    </row>
    <row r="38" spans="1:10" x14ac:dyDescent="0.25">
      <c r="B38" s="249" t="s">
        <v>5</v>
      </c>
      <c r="C38" s="212" t="s">
        <v>17</v>
      </c>
      <c r="D38" s="250"/>
      <c r="F38" s="114" t="s">
        <v>25</v>
      </c>
      <c r="G38" s="10"/>
      <c r="H38" s="20">
        <f>H36*H37</f>
        <v>15000</v>
      </c>
      <c r="I38" s="113" t="s">
        <v>22</v>
      </c>
    </row>
    <row r="39" spans="1:10" x14ac:dyDescent="0.25">
      <c r="A39" s="261" t="s">
        <v>75</v>
      </c>
      <c r="B39" s="249" t="s">
        <v>6</v>
      </c>
      <c r="C39" s="213">
        <v>5280</v>
      </c>
      <c r="D39" s="251" t="s">
        <v>22</v>
      </c>
      <c r="F39" s="114" t="s">
        <v>28</v>
      </c>
      <c r="G39" s="10"/>
      <c r="H39" s="24">
        <f>H38*J31</f>
        <v>1149000</v>
      </c>
      <c r="I39" s="113" t="s">
        <v>29</v>
      </c>
    </row>
    <row r="40" spans="1:10" ht="24.75" thickBot="1" x14ac:dyDescent="0.3">
      <c r="A40" s="261" t="s">
        <v>75</v>
      </c>
      <c r="B40" s="249" t="s">
        <v>7</v>
      </c>
      <c r="C40" s="213">
        <v>38000</v>
      </c>
      <c r="D40" s="251" t="s">
        <v>29</v>
      </c>
      <c r="F40" s="256" t="s">
        <v>32</v>
      </c>
      <c r="G40" s="257"/>
      <c r="H40" s="258">
        <f>C39*J31</f>
        <v>404447.99999999994</v>
      </c>
      <c r="I40" s="115" t="s">
        <v>29</v>
      </c>
    </row>
    <row r="41" spans="1:10" ht="27" customHeight="1" thickBot="1" x14ac:dyDescent="0.3">
      <c r="A41" s="261" t="s">
        <v>75</v>
      </c>
      <c r="B41" s="249" t="s">
        <v>8</v>
      </c>
      <c r="C41" s="213">
        <v>14500</v>
      </c>
      <c r="D41" s="251" t="s">
        <v>29</v>
      </c>
    </row>
    <row r="42" spans="1:10" ht="24.75" customHeight="1" x14ac:dyDescent="0.25">
      <c r="A42" s="261" t="s">
        <v>75</v>
      </c>
      <c r="B42" s="249" t="s">
        <v>9</v>
      </c>
      <c r="C42" s="213">
        <v>12500</v>
      </c>
      <c r="D42" s="251" t="s">
        <v>29</v>
      </c>
      <c r="F42" s="241" t="s">
        <v>55</v>
      </c>
      <c r="G42" s="242"/>
      <c r="H42" s="243">
        <f>SUM(I54:II55,C40,C41,C42,C43,H39,H40,D56:D62)-D62</f>
        <v>1880474.576625</v>
      </c>
      <c r="I42" s="111" t="s">
        <v>29</v>
      </c>
    </row>
    <row r="43" spans="1:10" ht="32.25" customHeight="1" thickBot="1" x14ac:dyDescent="0.3">
      <c r="A43" s="261" t="s">
        <v>75</v>
      </c>
      <c r="B43" s="252" t="s">
        <v>10</v>
      </c>
      <c r="C43" s="253">
        <v>130000</v>
      </c>
      <c r="D43" s="254" t="s">
        <v>29</v>
      </c>
      <c r="F43" s="123" t="s">
        <v>58</v>
      </c>
      <c r="G43" s="51"/>
      <c r="H43" s="240">
        <f>H42/J32</f>
        <v>24374.265413156187</v>
      </c>
      <c r="I43" s="113" t="s">
        <v>22</v>
      </c>
    </row>
    <row r="44" spans="1:10" x14ac:dyDescent="0.25">
      <c r="F44" s="118" t="s">
        <v>60</v>
      </c>
      <c r="G44" s="51"/>
      <c r="H44" s="240">
        <f>H43/H36</f>
        <v>2437.4265413156186</v>
      </c>
      <c r="I44" s="113" t="s">
        <v>22</v>
      </c>
    </row>
    <row r="45" spans="1:10" ht="15.75" thickBot="1" x14ac:dyDescent="0.3">
      <c r="B45" s="215" t="s">
        <v>109</v>
      </c>
      <c r="C45" s="215"/>
      <c r="D45" s="214"/>
      <c r="F45" s="125" t="s">
        <v>61</v>
      </c>
      <c r="G45" s="244"/>
      <c r="H45" s="245">
        <f>H44*J32</f>
        <v>188047.45766249998</v>
      </c>
      <c r="I45" s="115" t="s">
        <v>29</v>
      </c>
    </row>
    <row r="46" spans="1:10" ht="15.75" thickBot="1" x14ac:dyDescent="0.3"/>
    <row r="47" spans="1:10" x14ac:dyDescent="0.25">
      <c r="B47" s="152" t="s">
        <v>27</v>
      </c>
      <c r="C47" s="153"/>
      <c r="D47" s="153"/>
      <c r="E47" s="154"/>
      <c r="G47" s="215" t="s">
        <v>13</v>
      </c>
      <c r="H47" s="215"/>
      <c r="I47" s="215"/>
    </row>
    <row r="48" spans="1:10" x14ac:dyDescent="0.25">
      <c r="B48" s="10" t="s">
        <v>31</v>
      </c>
      <c r="C48" s="10"/>
      <c r="D48" s="12"/>
      <c r="E48" s="207"/>
    </row>
    <row r="49" spans="2:9" x14ac:dyDescent="0.25">
      <c r="B49" s="10" t="s">
        <v>34</v>
      </c>
      <c r="C49" s="12"/>
      <c r="D49" s="220">
        <f>H39</f>
        <v>1149000</v>
      </c>
      <c r="E49" s="220"/>
      <c r="G49" s="25"/>
      <c r="H49" s="26"/>
      <c r="I49" s="27"/>
    </row>
    <row r="50" spans="2:9" x14ac:dyDescent="0.25">
      <c r="B50" s="10" t="s">
        <v>36</v>
      </c>
      <c r="C50" s="221"/>
      <c r="D50" s="220">
        <f>C39*J32</f>
        <v>407352.00000000006</v>
      </c>
      <c r="E50" s="220"/>
      <c r="G50" s="25" t="s">
        <v>33</v>
      </c>
      <c r="H50" s="26" t="s">
        <v>29</v>
      </c>
      <c r="I50" s="105">
        <f>C39*J31</f>
        <v>404447.99999999994</v>
      </c>
    </row>
    <row r="51" spans="2:9" x14ac:dyDescent="0.25">
      <c r="B51" s="10" t="s">
        <v>38</v>
      </c>
      <c r="C51" s="222">
        <v>1.15E-2</v>
      </c>
      <c r="D51" s="223">
        <f>(D49)*1.125%</f>
        <v>12926.25</v>
      </c>
      <c r="E51" s="223"/>
      <c r="G51" s="25" t="s">
        <v>35</v>
      </c>
      <c r="H51" s="26" t="s">
        <v>29</v>
      </c>
      <c r="I51" s="106">
        <f>D63</f>
        <v>129465.45562500003</v>
      </c>
    </row>
    <row r="52" spans="2:9" x14ac:dyDescent="0.25">
      <c r="B52" s="10" t="s">
        <v>40</v>
      </c>
      <c r="C52" s="12"/>
      <c r="D52" s="220">
        <f>D51+D50+D49</f>
        <v>1569278.25</v>
      </c>
      <c r="E52" s="220"/>
      <c r="G52" s="32"/>
      <c r="H52" s="1"/>
      <c r="I52" s="33"/>
    </row>
    <row r="53" spans="2:9" ht="15.75" thickBot="1" x14ac:dyDescent="0.3">
      <c r="B53" s="225" t="s">
        <v>42</v>
      </c>
      <c r="C53" s="226">
        <v>0</v>
      </c>
      <c r="D53" s="227">
        <f>D52*C53</f>
        <v>0</v>
      </c>
      <c r="E53" s="227"/>
      <c r="G53" s="25"/>
      <c r="H53" s="26"/>
      <c r="I53" s="59"/>
    </row>
    <row r="54" spans="2:9" ht="15.75" thickBot="1" x14ac:dyDescent="0.3">
      <c r="B54" s="228" t="s">
        <v>44</v>
      </c>
      <c r="C54" s="229"/>
      <c r="D54" s="230">
        <f>D52+D53</f>
        <v>1569278.25</v>
      </c>
      <c r="E54" s="231"/>
      <c r="G54" s="61" t="s">
        <v>51</v>
      </c>
      <c r="H54" s="26" t="s">
        <v>29</v>
      </c>
      <c r="I54" s="27">
        <f>H39*0.75%*3/12</f>
        <v>2154.375</v>
      </c>
    </row>
    <row r="55" spans="2:9" ht="15.75" thickBot="1" x14ac:dyDescent="0.3">
      <c r="B55" s="216"/>
      <c r="C55" s="2"/>
      <c r="D55" s="49"/>
      <c r="E55" s="217"/>
      <c r="G55" s="61" t="s">
        <v>53</v>
      </c>
      <c r="H55" s="26" t="s">
        <v>29</v>
      </c>
      <c r="I55" s="62">
        <f>D49*0.0354%</f>
        <v>406.74599999999998</v>
      </c>
    </row>
    <row r="56" spans="2:9" x14ac:dyDescent="0.25">
      <c r="B56" s="109" t="s">
        <v>37</v>
      </c>
      <c r="C56" s="232">
        <v>7.4999999999999997E-2</v>
      </c>
      <c r="D56" s="233">
        <f>D54*C56</f>
        <v>117695.86874999999</v>
      </c>
      <c r="E56" s="234">
        <f t="shared" ref="E56:E62" si="0">+D56</f>
        <v>117695.86874999999</v>
      </c>
      <c r="G56" s="25"/>
      <c r="H56" s="26"/>
      <c r="I56" s="62"/>
    </row>
    <row r="57" spans="2:9" x14ac:dyDescent="0.25">
      <c r="B57" s="118" t="s">
        <v>39</v>
      </c>
      <c r="C57" s="224">
        <v>0</v>
      </c>
      <c r="D57" s="220">
        <f>(D54+D56)*C57</f>
        <v>0</v>
      </c>
      <c r="E57" s="235">
        <f t="shared" si="0"/>
        <v>0</v>
      </c>
      <c r="G57" s="71" t="s">
        <v>56</v>
      </c>
      <c r="H57" s="26"/>
      <c r="I57" s="72"/>
    </row>
    <row r="58" spans="2:9" x14ac:dyDescent="0.25">
      <c r="B58" s="118" t="s">
        <v>48</v>
      </c>
      <c r="C58" s="224">
        <v>0</v>
      </c>
      <c r="D58" s="220">
        <f>D57*C58</f>
        <v>0</v>
      </c>
      <c r="E58" s="235">
        <f t="shared" si="0"/>
        <v>0</v>
      </c>
      <c r="G58" s="1"/>
      <c r="H58" s="1"/>
      <c r="I58" s="1"/>
    </row>
    <row r="59" spans="2:9" ht="15.75" x14ac:dyDescent="0.25">
      <c r="B59" s="118" t="s">
        <v>49</v>
      </c>
      <c r="C59" s="224">
        <v>0</v>
      </c>
      <c r="D59" s="220">
        <f>D57*C59</f>
        <v>0</v>
      </c>
      <c r="E59" s="235">
        <f t="shared" si="0"/>
        <v>0</v>
      </c>
      <c r="G59" s="76" t="s">
        <v>57</v>
      </c>
      <c r="H59" s="77"/>
      <c r="I59" s="78" t="e">
        <f>I57/C47</f>
        <v>#DIV/0!</v>
      </c>
    </row>
    <row r="60" spans="2:9" ht="15.75" x14ac:dyDescent="0.25">
      <c r="B60" s="118" t="s">
        <v>50</v>
      </c>
      <c r="C60" s="224">
        <v>0.1</v>
      </c>
      <c r="D60" s="220">
        <f>(D56+D57+D58+D59)*C60</f>
        <v>11769.586875000001</v>
      </c>
      <c r="E60" s="235">
        <f t="shared" si="0"/>
        <v>11769.586875000001</v>
      </c>
      <c r="G60" s="80" t="s">
        <v>59</v>
      </c>
      <c r="H60" s="80">
        <v>3</v>
      </c>
      <c r="I60" s="72">
        <f>+I57/H60</f>
        <v>0</v>
      </c>
    </row>
    <row r="61" spans="2:9" x14ac:dyDescent="0.25">
      <c r="B61" s="118" t="s">
        <v>52</v>
      </c>
      <c r="C61" s="224">
        <v>0</v>
      </c>
      <c r="D61" s="220">
        <f>(D56+D57+D58+D59)*C61</f>
        <v>0</v>
      </c>
      <c r="E61" s="235">
        <f t="shared" si="0"/>
        <v>0</v>
      </c>
    </row>
    <row r="62" spans="2:9" ht="15.75" thickBot="1" x14ac:dyDescent="0.3">
      <c r="B62" s="236" t="s">
        <v>45</v>
      </c>
      <c r="C62" s="237">
        <v>0.12</v>
      </c>
      <c r="D62" s="238">
        <f>(D56+D57+D58+D59+D60+D61+D54)*C62</f>
        <v>203849.24467499999</v>
      </c>
      <c r="E62" s="239">
        <f t="shared" si="0"/>
        <v>203849.24467499999</v>
      </c>
    </row>
    <row r="63" spans="2:9" ht="15.75" thickBot="1" x14ac:dyDescent="0.3">
      <c r="B63" s="218" t="s">
        <v>110</v>
      </c>
      <c r="C63" s="219"/>
      <c r="D63" s="156">
        <f>D62+D61+D60+D59+D58+D57+D56-D62</f>
        <v>129465.45562500003</v>
      </c>
      <c r="E63" s="15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7:F33"/>
  <sheetViews>
    <sheetView workbookViewId="0">
      <selection activeCell="J6" sqref="J6"/>
    </sheetView>
  </sheetViews>
  <sheetFormatPr defaultRowHeight="15" x14ac:dyDescent="0.25"/>
  <cols>
    <col min="1" max="1" width="17.5703125" customWidth="1"/>
    <col min="2" max="2" width="24" customWidth="1"/>
  </cols>
  <sheetData>
    <row r="27" spans="1:6" x14ac:dyDescent="0.25">
      <c r="B27" t="s">
        <v>24</v>
      </c>
      <c r="E27">
        <v>10</v>
      </c>
    </row>
    <row r="28" spans="1:6" x14ac:dyDescent="0.25">
      <c r="B28" t="s">
        <v>111</v>
      </c>
      <c r="C28" t="s">
        <v>84</v>
      </c>
      <c r="D28" t="s">
        <v>112</v>
      </c>
      <c r="E28" t="s">
        <v>105</v>
      </c>
    </row>
    <row r="29" spans="1:6" x14ac:dyDescent="0.25">
      <c r="A29" s="261" t="s">
        <v>75</v>
      </c>
      <c r="B29" t="s">
        <v>113</v>
      </c>
      <c r="E29">
        <v>76.599999999999994</v>
      </c>
    </row>
    <row r="30" spans="1:6" x14ac:dyDescent="0.25">
      <c r="A30" s="261" t="s">
        <v>114</v>
      </c>
      <c r="B30" t="s">
        <v>115</v>
      </c>
    </row>
    <row r="31" spans="1:6" x14ac:dyDescent="0.25">
      <c r="A31" s="261" t="s">
        <v>75</v>
      </c>
      <c r="B31" t="s">
        <v>116</v>
      </c>
      <c r="E31">
        <v>15000</v>
      </c>
      <c r="F31" t="s">
        <v>22</v>
      </c>
    </row>
    <row r="32" spans="1:6" x14ac:dyDescent="0.25">
      <c r="B32" t="s">
        <v>117</v>
      </c>
      <c r="E32">
        <f>E31*E29</f>
        <v>1149000</v>
      </c>
    </row>
    <row r="33" spans="2:2" ht="30" x14ac:dyDescent="0.25">
      <c r="B33" s="179" t="s">
        <v>118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J6" sqref="J6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J6" sqref="J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Imported Sample</vt:lpstr>
      <vt:lpstr>Beri Imported expense scope-F</vt:lpstr>
      <vt:lpstr>Imported Sample (2)</vt:lpstr>
      <vt:lpstr>scope-BOP</vt:lpstr>
      <vt:lpstr>scope-RM</vt:lpstr>
      <vt:lpstr>Beri- Old Costing</vt:lpstr>
      <vt:lpstr>Beri-BOM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Aman Sangra</cp:lastModifiedBy>
  <cp:revision/>
  <dcterms:created xsi:type="dcterms:W3CDTF">2022-05-12T05:38:27Z</dcterms:created>
  <dcterms:modified xsi:type="dcterms:W3CDTF">2025-07-29T04:24:31Z</dcterms:modified>
  <cp:category/>
  <cp:contentStatus/>
</cp:coreProperties>
</file>